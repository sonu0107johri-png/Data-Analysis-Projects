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dministrator\Desktop\Blog Pythons\Public Transport - Need or Hassel\"/>
    </mc:Choice>
  </mc:AlternateContent>
  <xr:revisionPtr revIDLastSave="0" documentId="13_ncr:1_{0B7382C5-421A-40CE-A1EE-C9009A708D39}" xr6:coauthVersionLast="47" xr6:coauthVersionMax="47" xr10:uidLastSave="{00000000-0000-0000-0000-000000000000}"/>
  <bookViews>
    <workbookView xWindow="-108" yWindow="-108" windowWidth="23256" windowHeight="12456" xr2:uid="{D1A028F8-EA98-4A45-9BC9-5B5F55AD9A73}"/>
  </bookViews>
  <sheets>
    <sheet name="City Introduction" sheetId="1" r:id="rId1"/>
    <sheet name="City Geography and Topography" sheetId="2" r:id="rId2"/>
    <sheet name="City Demographic" sheetId="3" r:id="rId3"/>
  </sheets>
  <definedNames>
    <definedName name="_xlnm._FilterDatabase" localSheetId="0" hidden="1">'City Introduction'!$A$1:$C$400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81" i="1" l="1"/>
  <c r="I300" i="1"/>
  <c r="K227" i="1"/>
  <c r="I227" i="1"/>
  <c r="H300" i="1"/>
  <c r="G300" i="1" s="1"/>
  <c r="H227" i="1"/>
  <c r="G227" i="1" s="1"/>
  <c r="H153" i="1"/>
  <c r="G153" i="1" s="1"/>
  <c r="H81" i="1"/>
  <c r="G81" i="1" s="1"/>
  <c r="H2" i="1"/>
  <c r="G2" i="1" s="1"/>
  <c r="A3" i="2"/>
  <c r="B3" i="2"/>
  <c r="C3" i="2"/>
  <c r="A4" i="2"/>
  <c r="B4" i="2"/>
  <c r="C4" i="2"/>
  <c r="A5" i="2"/>
  <c r="B5" i="2"/>
  <c r="C5" i="2"/>
  <c r="A6" i="2"/>
  <c r="B6" i="2"/>
  <c r="C6" i="2"/>
  <c r="A7" i="2"/>
  <c r="B7" i="2"/>
  <c r="C7" i="2"/>
  <c r="A8" i="2"/>
  <c r="B8" i="2"/>
  <c r="C8" i="2"/>
  <c r="A9" i="2"/>
  <c r="B9" i="2"/>
  <c r="C9" i="2"/>
  <c r="A10" i="2"/>
  <c r="B10" i="2"/>
  <c r="C10" i="2"/>
  <c r="A11" i="2"/>
  <c r="B11" i="2"/>
  <c r="C11" i="2"/>
  <c r="A12" i="2"/>
  <c r="B12" i="2"/>
  <c r="C12" i="2"/>
  <c r="A13" i="2"/>
  <c r="B13" i="2"/>
  <c r="C13" i="2"/>
  <c r="A14" i="2"/>
  <c r="B14" i="2"/>
  <c r="C14" i="2"/>
  <c r="A15" i="2"/>
  <c r="B15" i="2"/>
  <c r="C15" i="2"/>
  <c r="A16" i="2"/>
  <c r="B16" i="2"/>
  <c r="C16" i="2"/>
  <c r="A17" i="2"/>
  <c r="B17" i="2"/>
  <c r="C17" i="2"/>
  <c r="A18" i="2"/>
  <c r="B18" i="2"/>
  <c r="C18" i="2"/>
  <c r="A19" i="2"/>
  <c r="B19" i="2"/>
  <c r="C19" i="2"/>
  <c r="A20" i="2"/>
  <c r="B20" i="2"/>
  <c r="C20" i="2"/>
  <c r="A21" i="2"/>
  <c r="B21" i="2"/>
  <c r="C21" i="2"/>
  <c r="A22" i="2"/>
  <c r="B22" i="2"/>
  <c r="C22" i="2"/>
  <c r="A23" i="2"/>
  <c r="B23" i="2"/>
  <c r="C23" i="2"/>
  <c r="A24" i="2"/>
  <c r="B24" i="2"/>
  <c r="C24" i="2"/>
  <c r="A25" i="2"/>
  <c r="B25" i="2"/>
  <c r="C25" i="2"/>
  <c r="A26" i="2"/>
  <c r="B26" i="2"/>
  <c r="C26" i="2"/>
  <c r="A27" i="2"/>
  <c r="B27" i="2"/>
  <c r="C27" i="2"/>
  <c r="A28" i="2"/>
  <c r="B28" i="2"/>
  <c r="C28" i="2"/>
  <c r="A29" i="2"/>
  <c r="B29" i="2"/>
  <c r="C29" i="2"/>
  <c r="A30" i="2"/>
  <c r="B30" i="2"/>
  <c r="C30" i="2"/>
  <c r="A31" i="2"/>
  <c r="B31" i="2"/>
  <c r="C31" i="2"/>
  <c r="A32" i="2"/>
  <c r="B32" i="2"/>
  <c r="C32" i="2"/>
  <c r="A33" i="2"/>
  <c r="B33" i="2"/>
  <c r="C33" i="2"/>
  <c r="A34" i="2"/>
  <c r="B34" i="2"/>
  <c r="C34" i="2"/>
  <c r="A35" i="2"/>
  <c r="B35" i="2"/>
  <c r="C35" i="2"/>
  <c r="A36" i="2"/>
  <c r="B36" i="2"/>
  <c r="C36" i="2"/>
  <c r="A37" i="2"/>
  <c r="B37" i="2"/>
  <c r="C37" i="2"/>
  <c r="A38" i="2"/>
  <c r="B38" i="2"/>
  <c r="C38" i="2"/>
  <c r="A39" i="2"/>
  <c r="B39" i="2"/>
  <c r="C39" i="2"/>
  <c r="A40" i="2"/>
  <c r="B40" i="2"/>
  <c r="C40" i="2"/>
  <c r="A41" i="2"/>
  <c r="B41" i="2"/>
  <c r="C41" i="2"/>
  <c r="A42" i="2"/>
  <c r="B42" i="2"/>
  <c r="C42" i="2"/>
  <c r="A43" i="2"/>
  <c r="B43" i="2"/>
  <c r="C43" i="2"/>
  <c r="A44" i="2"/>
  <c r="B44" i="2"/>
  <c r="C44" i="2"/>
  <c r="A45" i="2"/>
  <c r="B45" i="2"/>
  <c r="C45" i="2"/>
  <c r="A46" i="2"/>
  <c r="B46" i="2"/>
  <c r="C46" i="2"/>
  <c r="A47" i="2"/>
  <c r="B47" i="2"/>
  <c r="C47" i="2"/>
  <c r="A48" i="2"/>
  <c r="B48" i="2"/>
  <c r="C48" i="2"/>
  <c r="A49" i="2"/>
  <c r="B49" i="2"/>
  <c r="C49" i="2"/>
  <c r="A50" i="2"/>
  <c r="B50" i="2"/>
  <c r="C50" i="2"/>
  <c r="A51" i="2"/>
  <c r="B51" i="2"/>
  <c r="C51" i="2"/>
  <c r="A52" i="2"/>
  <c r="B52" i="2"/>
  <c r="C52" i="2"/>
  <c r="A53" i="2"/>
  <c r="B53" i="2"/>
  <c r="C53" i="2"/>
  <c r="A54" i="2"/>
  <c r="B54" i="2"/>
  <c r="C54" i="2"/>
  <c r="A55" i="2"/>
  <c r="B55" i="2"/>
  <c r="C55" i="2"/>
  <c r="A56" i="2"/>
  <c r="B56" i="2"/>
  <c r="C56" i="2"/>
  <c r="A57" i="2"/>
  <c r="B57" i="2"/>
  <c r="C57" i="2"/>
  <c r="A58" i="2"/>
  <c r="B58" i="2"/>
  <c r="C58" i="2"/>
  <c r="A59" i="2"/>
  <c r="B59" i="2"/>
  <c r="C59" i="2"/>
  <c r="A60" i="2"/>
  <c r="B60" i="2"/>
  <c r="C60" i="2"/>
  <c r="A61" i="2"/>
  <c r="B61" i="2"/>
  <c r="C61" i="2"/>
  <c r="A62" i="2"/>
  <c r="B62" i="2"/>
  <c r="C62" i="2"/>
  <c r="A63" i="2"/>
  <c r="B63" i="2"/>
  <c r="C63" i="2"/>
  <c r="A64" i="2"/>
  <c r="B64" i="2"/>
  <c r="C64" i="2"/>
  <c r="A65" i="2"/>
  <c r="B65" i="2"/>
  <c r="C65" i="2"/>
  <c r="A66" i="2"/>
  <c r="B66" i="2"/>
  <c r="C66" i="2"/>
  <c r="A67" i="2"/>
  <c r="B67" i="2"/>
  <c r="C67" i="2"/>
  <c r="A68" i="2"/>
  <c r="B68" i="2"/>
  <c r="C68" i="2"/>
  <c r="A69" i="2"/>
  <c r="B69" i="2"/>
  <c r="C69" i="2"/>
  <c r="A70" i="2"/>
  <c r="B70" i="2"/>
  <c r="C70" i="2"/>
  <c r="A71" i="2"/>
  <c r="B71" i="2"/>
  <c r="C71" i="2"/>
  <c r="A72" i="2"/>
  <c r="B72" i="2"/>
  <c r="C72" i="2"/>
  <c r="A73" i="2"/>
  <c r="B73" i="2"/>
  <c r="C73" i="2"/>
  <c r="A74" i="2"/>
  <c r="B74" i="2"/>
  <c r="C74" i="2"/>
  <c r="A75" i="2"/>
  <c r="B75" i="2"/>
  <c r="C75" i="2"/>
  <c r="A76" i="2"/>
  <c r="B76" i="2"/>
  <c r="C76" i="2"/>
  <c r="A77" i="2"/>
  <c r="B77" i="2"/>
  <c r="C77" i="2"/>
  <c r="A78" i="2"/>
  <c r="B78" i="2"/>
  <c r="C78" i="2"/>
  <c r="A79" i="2"/>
  <c r="B79" i="2"/>
  <c r="C79" i="2"/>
  <c r="A80" i="2"/>
  <c r="B80" i="2"/>
  <c r="C80" i="2"/>
  <c r="A81" i="2"/>
  <c r="B81" i="2"/>
  <c r="C81" i="2"/>
  <c r="A82" i="2"/>
  <c r="B82" i="2"/>
  <c r="C82" i="2"/>
  <c r="A83" i="2"/>
  <c r="B83" i="2"/>
  <c r="C83" i="2"/>
  <c r="A84" i="2"/>
  <c r="B84" i="2"/>
  <c r="C84" i="2"/>
  <c r="A85" i="2"/>
  <c r="B85" i="2"/>
  <c r="C85" i="2"/>
  <c r="A86" i="2"/>
  <c r="B86" i="2"/>
  <c r="C86" i="2"/>
  <c r="A87" i="2"/>
  <c r="B87" i="2"/>
  <c r="C87" i="2"/>
  <c r="A88" i="2"/>
  <c r="B88" i="2"/>
  <c r="C88" i="2"/>
  <c r="A89" i="2"/>
  <c r="B89" i="2"/>
  <c r="C89" i="2"/>
  <c r="A90" i="2"/>
  <c r="B90" i="2"/>
  <c r="C90" i="2"/>
  <c r="A91" i="2"/>
  <c r="B91" i="2"/>
  <c r="C91" i="2"/>
  <c r="A92" i="2"/>
  <c r="B92" i="2"/>
  <c r="C92" i="2"/>
  <c r="A93" i="2"/>
  <c r="B93" i="2"/>
  <c r="C93" i="2"/>
  <c r="A94" i="2"/>
  <c r="B94" i="2"/>
  <c r="C94" i="2"/>
  <c r="A95" i="2"/>
  <c r="B95" i="2"/>
  <c r="C95" i="2"/>
  <c r="A96" i="2"/>
  <c r="B96" i="2"/>
  <c r="C96" i="2"/>
  <c r="A97" i="2"/>
  <c r="B97" i="2"/>
  <c r="C97" i="2"/>
  <c r="A98" i="2"/>
  <c r="B98" i="2"/>
  <c r="C98" i="2"/>
  <c r="A99" i="2"/>
  <c r="B99" i="2"/>
  <c r="C99" i="2"/>
  <c r="A100" i="2"/>
  <c r="B100" i="2"/>
  <c r="C100" i="2"/>
  <c r="A101" i="2"/>
  <c r="B101" i="2"/>
  <c r="C101" i="2"/>
  <c r="A102" i="2"/>
  <c r="B102" i="2"/>
  <c r="C102" i="2"/>
  <c r="A103" i="2"/>
  <c r="B103" i="2"/>
  <c r="C103" i="2"/>
  <c r="A104" i="2"/>
  <c r="B104" i="2"/>
  <c r="C104" i="2"/>
  <c r="A105" i="2"/>
  <c r="B105" i="2"/>
  <c r="C105" i="2"/>
  <c r="A106" i="2"/>
  <c r="B106" i="2"/>
  <c r="C106" i="2"/>
  <c r="A107" i="2"/>
  <c r="B107" i="2"/>
  <c r="C107" i="2"/>
  <c r="A108" i="2"/>
  <c r="B108" i="2"/>
  <c r="C108" i="2"/>
  <c r="A109" i="2"/>
  <c r="B109" i="2"/>
  <c r="C109" i="2"/>
  <c r="A110" i="2"/>
  <c r="B110" i="2"/>
  <c r="C110" i="2"/>
  <c r="A111" i="2"/>
  <c r="B111" i="2"/>
  <c r="C111" i="2"/>
  <c r="A112" i="2"/>
  <c r="B112" i="2"/>
  <c r="C112" i="2"/>
  <c r="A113" i="2"/>
  <c r="B113" i="2"/>
  <c r="C113" i="2"/>
  <c r="A114" i="2"/>
  <c r="B114" i="2"/>
  <c r="C114" i="2"/>
  <c r="A115" i="2"/>
  <c r="B115" i="2"/>
  <c r="C115" i="2"/>
  <c r="A116" i="2"/>
  <c r="B116" i="2"/>
  <c r="C116" i="2"/>
  <c r="A117" i="2"/>
  <c r="B117" i="2"/>
  <c r="C117" i="2"/>
  <c r="A118" i="2"/>
  <c r="B118" i="2"/>
  <c r="C118" i="2"/>
  <c r="A119" i="2"/>
  <c r="B119" i="2"/>
  <c r="C119" i="2"/>
  <c r="A120" i="2"/>
  <c r="B120" i="2"/>
  <c r="C120" i="2"/>
  <c r="A121" i="2"/>
  <c r="B121" i="2"/>
  <c r="C121" i="2"/>
  <c r="A122" i="2"/>
  <c r="B122" i="2"/>
  <c r="C122" i="2"/>
  <c r="A123" i="2"/>
  <c r="B123" i="2"/>
  <c r="C123" i="2"/>
  <c r="A124" i="2"/>
  <c r="B124" i="2"/>
  <c r="C124" i="2"/>
  <c r="A125" i="2"/>
  <c r="B125" i="2"/>
  <c r="C125" i="2"/>
  <c r="A126" i="2"/>
  <c r="B126" i="2"/>
  <c r="C126" i="2"/>
  <c r="A127" i="2"/>
  <c r="B127" i="2"/>
  <c r="C127" i="2"/>
  <c r="A128" i="2"/>
  <c r="B128" i="2"/>
  <c r="C128" i="2"/>
  <c r="A129" i="2"/>
  <c r="B129" i="2"/>
  <c r="C129" i="2"/>
  <c r="A130" i="2"/>
  <c r="B130" i="2"/>
  <c r="C130" i="2"/>
  <c r="A131" i="2"/>
  <c r="B131" i="2"/>
  <c r="C131" i="2"/>
  <c r="A132" i="2"/>
  <c r="B132" i="2"/>
  <c r="C132" i="2"/>
  <c r="A133" i="2"/>
  <c r="B133" i="2"/>
  <c r="C133" i="2"/>
  <c r="A134" i="2"/>
  <c r="B134" i="2"/>
  <c r="C134" i="2"/>
  <c r="A135" i="2"/>
  <c r="B135" i="2"/>
  <c r="C135" i="2"/>
  <c r="A136" i="2"/>
  <c r="B136" i="2"/>
  <c r="C136" i="2"/>
  <c r="A137" i="2"/>
  <c r="B137" i="2"/>
  <c r="C137" i="2"/>
  <c r="A138" i="2"/>
  <c r="B138" i="2"/>
  <c r="C138" i="2"/>
  <c r="A139" i="2"/>
  <c r="B139" i="2"/>
  <c r="C139" i="2"/>
  <c r="A140" i="2"/>
  <c r="B140" i="2"/>
  <c r="C140" i="2"/>
  <c r="A141" i="2"/>
  <c r="B141" i="2"/>
  <c r="C141" i="2"/>
  <c r="A142" i="2"/>
  <c r="B142" i="2"/>
  <c r="C142" i="2"/>
  <c r="A143" i="2"/>
  <c r="B143" i="2"/>
  <c r="C143" i="2"/>
  <c r="A144" i="2"/>
  <c r="B144" i="2"/>
  <c r="C144" i="2"/>
  <c r="A145" i="2"/>
  <c r="B145" i="2"/>
  <c r="C145" i="2"/>
  <c r="A146" i="2"/>
  <c r="B146" i="2"/>
  <c r="C146" i="2"/>
  <c r="A147" i="2"/>
  <c r="B147" i="2"/>
  <c r="C147" i="2"/>
  <c r="A148" i="2"/>
  <c r="B148" i="2"/>
  <c r="C148" i="2"/>
  <c r="A149" i="2"/>
  <c r="B149" i="2"/>
  <c r="C149" i="2"/>
  <c r="A150" i="2"/>
  <c r="B150" i="2"/>
  <c r="C150" i="2"/>
  <c r="A151" i="2"/>
  <c r="B151" i="2"/>
  <c r="C151" i="2"/>
  <c r="A152" i="2"/>
  <c r="B152" i="2"/>
  <c r="C152" i="2"/>
  <c r="A153" i="2"/>
  <c r="B153" i="2"/>
  <c r="C153" i="2"/>
  <c r="A154" i="2"/>
  <c r="B154" i="2"/>
  <c r="C154" i="2"/>
  <c r="A155" i="2"/>
  <c r="B155" i="2"/>
  <c r="C155" i="2"/>
  <c r="A156" i="2"/>
  <c r="B156" i="2"/>
  <c r="C156" i="2"/>
  <c r="A157" i="2"/>
  <c r="B157" i="2"/>
  <c r="C157" i="2"/>
  <c r="A158" i="2"/>
  <c r="B158" i="2"/>
  <c r="C158" i="2"/>
  <c r="A159" i="2"/>
  <c r="B159" i="2"/>
  <c r="C159" i="2"/>
  <c r="A160" i="2"/>
  <c r="B160" i="2"/>
  <c r="C160" i="2"/>
  <c r="A161" i="2"/>
  <c r="B161" i="2"/>
  <c r="C161" i="2"/>
  <c r="A162" i="2"/>
  <c r="B162" i="2"/>
  <c r="C162" i="2"/>
  <c r="A163" i="2"/>
  <c r="B163" i="2"/>
  <c r="C163" i="2"/>
  <c r="A164" i="2"/>
  <c r="B164" i="2"/>
  <c r="C164" i="2"/>
  <c r="A165" i="2"/>
  <c r="B165" i="2"/>
  <c r="C165" i="2"/>
  <c r="A166" i="2"/>
  <c r="B166" i="2"/>
  <c r="C166" i="2"/>
  <c r="A167" i="2"/>
  <c r="B167" i="2"/>
  <c r="C167" i="2"/>
  <c r="A168" i="2"/>
  <c r="B168" i="2"/>
  <c r="C168" i="2"/>
  <c r="A169" i="2"/>
  <c r="B169" i="2"/>
  <c r="C169" i="2"/>
  <c r="A170" i="2"/>
  <c r="B170" i="2"/>
  <c r="C170" i="2"/>
  <c r="A171" i="2"/>
  <c r="B171" i="2"/>
  <c r="C171" i="2"/>
  <c r="A172" i="2"/>
  <c r="B172" i="2"/>
  <c r="C172" i="2"/>
  <c r="A173" i="2"/>
  <c r="B173" i="2"/>
  <c r="C173" i="2"/>
  <c r="A174" i="2"/>
  <c r="B174" i="2"/>
  <c r="C174" i="2"/>
  <c r="A175" i="2"/>
  <c r="B175" i="2"/>
  <c r="C175" i="2"/>
  <c r="A176" i="2"/>
  <c r="B176" i="2"/>
  <c r="C176" i="2"/>
  <c r="A177" i="2"/>
  <c r="B177" i="2"/>
  <c r="C177" i="2"/>
  <c r="A178" i="2"/>
  <c r="B178" i="2"/>
  <c r="C178" i="2"/>
  <c r="A179" i="2"/>
  <c r="B179" i="2"/>
  <c r="C179" i="2"/>
  <c r="A180" i="2"/>
  <c r="B180" i="2"/>
  <c r="C180" i="2"/>
  <c r="A181" i="2"/>
  <c r="B181" i="2"/>
  <c r="C181" i="2"/>
  <c r="A182" i="2"/>
  <c r="B182" i="2"/>
  <c r="C182" i="2"/>
  <c r="A183" i="2"/>
  <c r="B183" i="2"/>
  <c r="C183" i="2"/>
  <c r="A184" i="2"/>
  <c r="B184" i="2"/>
  <c r="C184" i="2"/>
  <c r="A185" i="2"/>
  <c r="B185" i="2"/>
  <c r="C185" i="2"/>
  <c r="A186" i="2"/>
  <c r="B186" i="2"/>
  <c r="C186" i="2"/>
  <c r="A187" i="2"/>
  <c r="B187" i="2"/>
  <c r="C187" i="2"/>
  <c r="A188" i="2"/>
  <c r="B188" i="2"/>
  <c r="C188" i="2"/>
  <c r="A189" i="2"/>
  <c r="B189" i="2"/>
  <c r="C189" i="2"/>
  <c r="A190" i="2"/>
  <c r="B190" i="2"/>
  <c r="C190" i="2"/>
  <c r="A191" i="2"/>
  <c r="B191" i="2"/>
  <c r="C191" i="2"/>
  <c r="A192" i="2"/>
  <c r="B192" i="2"/>
  <c r="C192" i="2"/>
  <c r="A193" i="2"/>
  <c r="B193" i="2"/>
  <c r="C193" i="2"/>
  <c r="A194" i="2"/>
  <c r="B194" i="2"/>
  <c r="C194" i="2"/>
  <c r="A195" i="2"/>
  <c r="B195" i="2"/>
  <c r="C195" i="2"/>
  <c r="A196" i="2"/>
  <c r="B196" i="2"/>
  <c r="C196" i="2"/>
  <c r="A197" i="2"/>
  <c r="B197" i="2"/>
  <c r="C197" i="2"/>
  <c r="A198" i="2"/>
  <c r="B198" i="2"/>
  <c r="C198" i="2"/>
  <c r="A199" i="2"/>
  <c r="B199" i="2"/>
  <c r="C199" i="2"/>
  <c r="A200" i="2"/>
  <c r="B200" i="2"/>
  <c r="C200" i="2"/>
  <c r="A201" i="2"/>
  <c r="B201" i="2"/>
  <c r="C201" i="2"/>
  <c r="A202" i="2"/>
  <c r="B202" i="2"/>
  <c r="C202" i="2"/>
  <c r="A203" i="2"/>
  <c r="B203" i="2"/>
  <c r="C203" i="2"/>
  <c r="A204" i="2"/>
  <c r="B204" i="2"/>
  <c r="C204" i="2"/>
  <c r="A205" i="2"/>
  <c r="B205" i="2"/>
  <c r="C205" i="2"/>
  <c r="A206" i="2"/>
  <c r="B206" i="2"/>
  <c r="C206" i="2"/>
  <c r="A207" i="2"/>
  <c r="B207" i="2"/>
  <c r="C207" i="2"/>
  <c r="A208" i="2"/>
  <c r="B208" i="2"/>
  <c r="C208" i="2"/>
  <c r="A209" i="2"/>
  <c r="B209" i="2"/>
  <c r="C209" i="2"/>
  <c r="A210" i="2"/>
  <c r="B210" i="2"/>
  <c r="C210" i="2"/>
  <c r="A211" i="2"/>
  <c r="B211" i="2"/>
  <c r="C211" i="2"/>
  <c r="A212" i="2"/>
  <c r="B212" i="2"/>
  <c r="C212" i="2"/>
  <c r="A213" i="2"/>
  <c r="B213" i="2"/>
  <c r="C213" i="2"/>
  <c r="A214" i="2"/>
  <c r="B214" i="2"/>
  <c r="C214" i="2"/>
  <c r="A215" i="2"/>
  <c r="B215" i="2"/>
  <c r="C215" i="2"/>
  <c r="A216" i="2"/>
  <c r="B216" i="2"/>
  <c r="C216" i="2"/>
  <c r="A217" i="2"/>
  <c r="B217" i="2"/>
  <c r="C217" i="2"/>
  <c r="A218" i="2"/>
  <c r="B218" i="2"/>
  <c r="C218" i="2"/>
  <c r="A219" i="2"/>
  <c r="B219" i="2"/>
  <c r="C219" i="2"/>
  <c r="A220" i="2"/>
  <c r="B220" i="2"/>
  <c r="C220" i="2"/>
  <c r="A221" i="2"/>
  <c r="B221" i="2"/>
  <c r="C221" i="2"/>
  <c r="A222" i="2"/>
  <c r="B222" i="2"/>
  <c r="C222" i="2"/>
  <c r="A223" i="2"/>
  <c r="B223" i="2"/>
  <c r="C223" i="2"/>
  <c r="A224" i="2"/>
  <c r="B224" i="2"/>
  <c r="C224" i="2"/>
  <c r="A225" i="2"/>
  <c r="B225" i="2"/>
  <c r="C225" i="2"/>
  <c r="A226" i="2"/>
  <c r="B226" i="2"/>
  <c r="C226" i="2"/>
  <c r="A227" i="2"/>
  <c r="B227" i="2"/>
  <c r="C227" i="2"/>
  <c r="A228" i="2"/>
  <c r="B228" i="2"/>
  <c r="C228" i="2"/>
  <c r="A229" i="2"/>
  <c r="B229" i="2"/>
  <c r="C229" i="2"/>
  <c r="A230" i="2"/>
  <c r="B230" i="2"/>
  <c r="C230" i="2"/>
  <c r="A231" i="2"/>
  <c r="B231" i="2"/>
  <c r="C231" i="2"/>
  <c r="A232" i="2"/>
  <c r="B232" i="2"/>
  <c r="C232" i="2"/>
  <c r="A233" i="2"/>
  <c r="B233" i="2"/>
  <c r="C233" i="2"/>
  <c r="A234" i="2"/>
  <c r="B234" i="2"/>
  <c r="C234" i="2"/>
  <c r="A235" i="2"/>
  <c r="B235" i="2"/>
  <c r="C235" i="2"/>
  <c r="A236" i="2"/>
  <c r="B236" i="2"/>
  <c r="C236" i="2"/>
  <c r="A237" i="2"/>
  <c r="B237" i="2"/>
  <c r="C237" i="2"/>
  <c r="A238" i="2"/>
  <c r="B238" i="2"/>
  <c r="C238" i="2"/>
  <c r="A239" i="2"/>
  <c r="B239" i="2"/>
  <c r="C239" i="2"/>
  <c r="A240" i="2"/>
  <c r="B240" i="2"/>
  <c r="C240" i="2"/>
  <c r="A241" i="2"/>
  <c r="B241" i="2"/>
  <c r="C241" i="2"/>
  <c r="A242" i="2"/>
  <c r="B242" i="2"/>
  <c r="C242" i="2"/>
  <c r="A243" i="2"/>
  <c r="B243" i="2"/>
  <c r="C243" i="2"/>
  <c r="A244" i="2"/>
  <c r="B244" i="2"/>
  <c r="C244" i="2"/>
  <c r="A245" i="2"/>
  <c r="B245" i="2"/>
  <c r="C245" i="2"/>
  <c r="A246" i="2"/>
  <c r="B246" i="2"/>
  <c r="C246" i="2"/>
  <c r="A247" i="2"/>
  <c r="B247" i="2"/>
  <c r="C247" i="2"/>
  <c r="A248" i="2"/>
  <c r="B248" i="2"/>
  <c r="C248" i="2"/>
  <c r="A249" i="2"/>
  <c r="B249" i="2"/>
  <c r="C249" i="2"/>
  <c r="A250" i="2"/>
  <c r="B250" i="2"/>
  <c r="C250" i="2"/>
  <c r="A251" i="2"/>
  <c r="B251" i="2"/>
  <c r="C251" i="2"/>
  <c r="A252" i="2"/>
  <c r="B252" i="2"/>
  <c r="C252" i="2"/>
  <c r="A253" i="2"/>
  <c r="B253" i="2"/>
  <c r="C253" i="2"/>
  <c r="A254" i="2"/>
  <c r="B254" i="2"/>
  <c r="C254" i="2"/>
  <c r="A255" i="2"/>
  <c r="B255" i="2"/>
  <c r="C255" i="2"/>
  <c r="A256" i="2"/>
  <c r="B256" i="2"/>
  <c r="C256" i="2"/>
  <c r="A257" i="2"/>
  <c r="B257" i="2"/>
  <c r="C257" i="2"/>
  <c r="A258" i="2"/>
  <c r="B258" i="2"/>
  <c r="C258" i="2"/>
  <c r="A259" i="2"/>
  <c r="B259" i="2"/>
  <c r="C259" i="2"/>
  <c r="A260" i="2"/>
  <c r="B260" i="2"/>
  <c r="C260" i="2"/>
  <c r="A261" i="2"/>
  <c r="B261" i="2"/>
  <c r="C261" i="2"/>
  <c r="A262" i="2"/>
  <c r="B262" i="2"/>
  <c r="C262" i="2"/>
  <c r="A263" i="2"/>
  <c r="B263" i="2"/>
  <c r="C263" i="2"/>
  <c r="A264" i="2"/>
  <c r="B264" i="2"/>
  <c r="C264" i="2"/>
  <c r="A265" i="2"/>
  <c r="B265" i="2"/>
  <c r="C265" i="2"/>
  <c r="A266" i="2"/>
  <c r="B266" i="2"/>
  <c r="C266" i="2"/>
  <c r="A267" i="2"/>
  <c r="B267" i="2"/>
  <c r="C267" i="2"/>
  <c r="A268" i="2"/>
  <c r="B268" i="2"/>
  <c r="C268" i="2"/>
  <c r="A269" i="2"/>
  <c r="B269" i="2"/>
  <c r="C269" i="2"/>
  <c r="A270" i="2"/>
  <c r="B270" i="2"/>
  <c r="C270" i="2"/>
  <c r="A271" i="2"/>
  <c r="B271" i="2"/>
  <c r="C271" i="2"/>
  <c r="A272" i="2"/>
  <c r="B272" i="2"/>
  <c r="C272" i="2"/>
  <c r="A273" i="2"/>
  <c r="B273" i="2"/>
  <c r="C273" i="2"/>
  <c r="A274" i="2"/>
  <c r="B274" i="2"/>
  <c r="C274" i="2"/>
  <c r="A275" i="2"/>
  <c r="B275" i="2"/>
  <c r="C275" i="2"/>
  <c r="A276" i="2"/>
  <c r="B276" i="2"/>
  <c r="C276" i="2"/>
  <c r="A277" i="2"/>
  <c r="B277" i="2"/>
  <c r="C277" i="2"/>
  <c r="A278" i="2"/>
  <c r="B278" i="2"/>
  <c r="C278" i="2"/>
  <c r="A279" i="2"/>
  <c r="B279" i="2"/>
  <c r="C279" i="2"/>
  <c r="A280" i="2"/>
  <c r="B280" i="2"/>
  <c r="C280" i="2"/>
  <c r="A281" i="2"/>
  <c r="B281" i="2"/>
  <c r="C281" i="2"/>
  <c r="A282" i="2"/>
  <c r="B282" i="2"/>
  <c r="C282" i="2"/>
  <c r="A283" i="2"/>
  <c r="B283" i="2"/>
  <c r="C283" i="2"/>
  <c r="A284" i="2"/>
  <c r="B284" i="2"/>
  <c r="C284" i="2"/>
  <c r="A285" i="2"/>
  <c r="B285" i="2"/>
  <c r="C285" i="2"/>
  <c r="A286" i="2"/>
  <c r="B286" i="2"/>
  <c r="C286" i="2"/>
  <c r="A287" i="2"/>
  <c r="B287" i="2"/>
  <c r="C287" i="2"/>
  <c r="A288" i="2"/>
  <c r="B288" i="2"/>
  <c r="C288" i="2"/>
  <c r="A289" i="2"/>
  <c r="B289" i="2"/>
  <c r="C289" i="2"/>
  <c r="A290" i="2"/>
  <c r="B290" i="2"/>
  <c r="C290" i="2"/>
  <c r="AA3" i="1"/>
  <c r="AA4" i="1"/>
  <c r="AA5" i="1"/>
  <c r="AA7" i="1"/>
  <c r="AA8" i="1"/>
  <c r="AA9" i="1"/>
  <c r="AA10" i="1"/>
  <c r="AA11" i="1"/>
  <c r="AA12" i="1"/>
  <c r="AA14" i="1"/>
  <c r="AA15" i="1"/>
  <c r="AA16" i="1"/>
  <c r="AA17" i="1"/>
  <c r="AA19" i="1"/>
  <c r="AA20" i="1"/>
  <c r="AA21" i="1"/>
  <c r="AA22" i="1"/>
  <c r="AA24" i="1"/>
  <c r="AA26" i="1"/>
  <c r="AA29" i="1"/>
  <c r="AA31" i="1"/>
  <c r="AA34" i="1"/>
  <c r="AA36" i="1"/>
  <c r="AA39" i="1"/>
  <c r="AA41" i="1"/>
  <c r="AA44" i="1"/>
  <c r="AA46" i="1"/>
  <c r="AA49" i="1"/>
  <c r="AA51" i="1"/>
  <c r="AA53" i="1"/>
  <c r="AA55" i="1"/>
  <c r="AA57" i="1"/>
  <c r="AA59" i="1"/>
  <c r="AA61" i="1"/>
  <c r="AA63" i="1"/>
  <c r="AA65" i="1"/>
  <c r="AA67" i="1"/>
  <c r="AA69" i="1"/>
  <c r="AA70" i="1"/>
  <c r="AA72" i="1"/>
  <c r="AA74" i="1"/>
  <c r="AA76" i="1"/>
  <c r="AA78" i="1"/>
  <c r="AA80" i="1"/>
  <c r="AA81" i="1"/>
  <c r="AA82" i="1"/>
  <c r="AA83" i="1"/>
  <c r="AA84" i="1"/>
  <c r="AA86" i="1"/>
  <c r="AA87" i="1"/>
  <c r="AA88" i="1"/>
  <c r="AA89" i="1"/>
  <c r="AA90" i="1"/>
  <c r="AA91" i="1"/>
  <c r="AA93" i="1"/>
  <c r="AA94" i="1"/>
  <c r="AA95" i="1"/>
  <c r="AA96" i="1"/>
  <c r="AA98" i="1"/>
  <c r="AA99" i="1"/>
  <c r="AA100" i="1"/>
  <c r="AA103" i="1"/>
  <c r="AA105" i="1"/>
  <c r="AA108" i="1"/>
  <c r="AA110" i="1"/>
  <c r="AA113" i="1"/>
  <c r="AA115" i="1"/>
  <c r="AA118" i="1"/>
  <c r="AA120" i="1"/>
  <c r="AA123" i="1"/>
  <c r="AA126" i="1"/>
  <c r="AA128" i="1"/>
  <c r="AA130" i="1"/>
  <c r="AA132" i="1"/>
  <c r="AA134" i="1"/>
  <c r="AA136" i="1"/>
  <c r="AA138" i="1"/>
  <c r="AA140" i="1"/>
  <c r="AA142" i="1"/>
  <c r="AA144" i="1"/>
  <c r="AA146" i="1"/>
  <c r="AA148" i="1"/>
  <c r="AA150" i="1"/>
  <c r="AA152" i="1"/>
  <c r="AA153" i="1"/>
  <c r="AA154" i="1"/>
  <c r="AA155" i="1"/>
  <c r="AA156" i="1"/>
  <c r="AA158" i="1"/>
  <c r="AA159" i="1"/>
  <c r="AA160" i="1"/>
  <c r="AA161" i="1"/>
  <c r="AA162" i="1"/>
  <c r="AA163" i="1"/>
  <c r="AA165" i="1"/>
  <c r="AA166" i="1"/>
  <c r="AA167" i="1"/>
  <c r="AA168" i="1"/>
  <c r="AA170" i="1"/>
  <c r="AA171" i="1"/>
  <c r="AA172" i="1"/>
  <c r="AA175" i="1"/>
  <c r="AA177" i="1"/>
  <c r="AA180" i="1"/>
  <c r="AA182" i="1"/>
  <c r="AA185" i="1"/>
  <c r="AA187" i="1"/>
  <c r="AA190" i="1"/>
  <c r="AA192" i="1"/>
  <c r="AA195" i="1"/>
  <c r="AA198" i="1"/>
  <c r="AA200" i="1"/>
  <c r="AA202" i="1"/>
  <c r="AA204" i="1"/>
  <c r="AA206" i="1"/>
  <c r="AA208" i="1"/>
  <c r="AA210" i="1"/>
  <c r="AA212" i="1"/>
  <c r="AA214" i="1"/>
  <c r="AA216" i="1"/>
  <c r="AA218" i="1"/>
  <c r="AA220" i="1"/>
  <c r="AA222" i="1"/>
  <c r="AA224" i="1"/>
  <c r="AA226" i="1"/>
  <c r="AA227" i="1"/>
  <c r="AA228" i="1"/>
  <c r="AA229" i="1"/>
  <c r="AA230" i="1"/>
  <c r="AA232" i="1"/>
  <c r="AA233" i="1"/>
  <c r="AA234" i="1"/>
  <c r="AA235" i="1"/>
  <c r="AA236" i="1"/>
  <c r="AA237" i="1"/>
  <c r="AA239" i="1"/>
  <c r="AA240" i="1"/>
  <c r="AA241" i="1"/>
  <c r="AA242" i="1"/>
  <c r="AA244" i="1"/>
  <c r="AA245" i="1"/>
  <c r="AA246" i="1"/>
  <c r="AA249" i="1"/>
  <c r="AA251" i="1"/>
  <c r="AA254" i="1"/>
  <c r="AA256" i="1"/>
  <c r="AA259" i="1"/>
  <c r="AA261" i="1"/>
  <c r="AA264" i="1"/>
  <c r="AA266" i="1"/>
  <c r="AA269" i="1"/>
  <c r="AA271" i="1"/>
  <c r="AA273" i="1"/>
  <c r="AA275" i="1"/>
  <c r="AA277" i="1"/>
  <c r="AA279" i="1"/>
  <c r="AA281" i="1"/>
  <c r="AA283" i="1"/>
  <c r="AA285" i="1"/>
  <c r="AA287" i="1"/>
  <c r="AA289" i="1"/>
  <c r="AA291" i="1"/>
  <c r="AA293" i="1"/>
  <c r="AA295" i="1"/>
  <c r="AA297" i="1"/>
  <c r="AA299" i="1"/>
  <c r="AA300" i="1"/>
  <c r="AA301" i="1"/>
  <c r="AA302" i="1"/>
  <c r="AA303" i="1"/>
  <c r="AA305" i="1"/>
  <c r="AA306" i="1"/>
  <c r="AA307" i="1"/>
  <c r="AA308" i="1"/>
  <c r="AA309" i="1"/>
  <c r="AA310" i="1"/>
  <c r="AA312" i="1"/>
  <c r="AA313" i="1"/>
  <c r="AA314" i="1"/>
  <c r="AA315" i="1"/>
  <c r="AA317" i="1"/>
  <c r="AA318" i="1"/>
  <c r="AA319" i="1"/>
  <c r="AA322" i="1"/>
  <c r="AA324" i="1"/>
  <c r="AA327" i="1"/>
  <c r="AA329" i="1"/>
  <c r="AA332" i="1"/>
  <c r="AA334" i="1"/>
  <c r="AA337" i="1"/>
  <c r="AA339" i="1"/>
  <c r="AA342" i="1"/>
  <c r="AA344" i="1"/>
  <c r="AA346" i="1"/>
  <c r="AA348" i="1"/>
  <c r="AA350" i="1"/>
  <c r="AA352" i="1"/>
  <c r="AA354" i="1"/>
  <c r="AA356" i="1"/>
  <c r="AA358" i="1"/>
  <c r="AA360" i="1"/>
  <c r="AA362" i="1"/>
  <c r="AA364" i="1"/>
  <c r="AA366"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2" i="1"/>
  <c r="B2" i="2"/>
  <c r="C2" i="2"/>
  <c r="A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tc={CA44294B-4B89-47B9-9565-F5F463A496C2}</author>
  </authors>
  <commentList>
    <comment ref="C2" authorId="0" shapeId="0" xr:uid="{CA44294B-4B89-47B9-9565-F5F463A496C2}">
      <text>
        <t xml:space="preserve">[Threaded comment]
Your version of Excel allows you to read this threaded comment; however, any edits to it will get removed if the file is opened in a newer version of Excel. Learn more: https://go.microsoft.com/fwlink/?linkid=870924
Comment:
    Startr from the agricultural product of the cities based on the top five producers of any particular agriculrutral prodcuts starting from pulses from chickpea onwards. 
</t>
      </text>
    </comment>
  </commentList>
</comments>
</file>

<file path=xl/sharedStrings.xml><?xml version="1.0" encoding="utf-8"?>
<sst xmlns="http://schemas.openxmlformats.org/spreadsheetml/2006/main" count="1024" uniqueCount="548">
  <si>
    <t>City</t>
  </si>
  <si>
    <t>Nation</t>
  </si>
  <si>
    <t>Nations</t>
  </si>
  <si>
    <t>State / Province</t>
  </si>
  <si>
    <t>Population</t>
  </si>
  <si>
    <t>Population Density</t>
  </si>
  <si>
    <t>Urban Density</t>
  </si>
  <si>
    <t>Sri Vijaya Puram</t>
  </si>
  <si>
    <t>India</t>
  </si>
  <si>
    <t>Andaman and Nicobar Islands</t>
  </si>
  <si>
    <t>Kanpur</t>
  </si>
  <si>
    <t>Uttar Pradesh</t>
  </si>
  <si>
    <t>Patna</t>
  </si>
  <si>
    <t>Bihar</t>
  </si>
  <si>
    <t>Mumbai</t>
  </si>
  <si>
    <t>Maharashtra</t>
  </si>
  <si>
    <t>Kolkata</t>
  </si>
  <si>
    <t>West Bengal</t>
  </si>
  <si>
    <t>Indore</t>
  </si>
  <si>
    <t>Madhya Pradesh</t>
  </si>
  <si>
    <t>Jaipur</t>
  </si>
  <si>
    <t>Rajasthan</t>
  </si>
  <si>
    <t>Chennai</t>
  </si>
  <si>
    <t>Tamil Nadu</t>
  </si>
  <si>
    <t>Ahmedabad</t>
  </si>
  <si>
    <t>Gujarat</t>
  </si>
  <si>
    <t>Bengaluru</t>
  </si>
  <si>
    <t>Karnataka</t>
  </si>
  <si>
    <t>Visakhapatnam</t>
  </si>
  <si>
    <t>Andhra Pradesh</t>
  </si>
  <si>
    <t>Bhubaneshwar</t>
  </si>
  <si>
    <t>Odisha</t>
  </si>
  <si>
    <t>Hyderabad</t>
  </si>
  <si>
    <t>Telangana</t>
  </si>
  <si>
    <t>Thiruvananthapuram</t>
  </si>
  <si>
    <t>Kerala</t>
  </si>
  <si>
    <t>Jamshedpur</t>
  </si>
  <si>
    <t>Jharkhand</t>
  </si>
  <si>
    <t>Guwahati</t>
  </si>
  <si>
    <t>Assam</t>
  </si>
  <si>
    <t>Ludhiana</t>
  </si>
  <si>
    <t>Punjab</t>
  </si>
  <si>
    <t>Raipur</t>
  </si>
  <si>
    <t>Chattisgarh</t>
  </si>
  <si>
    <t>Faridabad</t>
  </si>
  <si>
    <t>Haryana</t>
  </si>
  <si>
    <t>Delhi</t>
  </si>
  <si>
    <t>Srinagar</t>
  </si>
  <si>
    <t>Jammu and Kashmir</t>
  </si>
  <si>
    <t>Dehradun</t>
  </si>
  <si>
    <t>Uttarakhand</t>
  </si>
  <si>
    <t>Shimla</t>
  </si>
  <si>
    <t>Himachal Pradesh</t>
  </si>
  <si>
    <t>Agartala</t>
  </si>
  <si>
    <t>Tripura</t>
  </si>
  <si>
    <t>Shillong</t>
  </si>
  <si>
    <t>Meghalaya</t>
  </si>
  <si>
    <t>Imphal</t>
  </si>
  <si>
    <t>Manipur</t>
  </si>
  <si>
    <t>Dimapur</t>
  </si>
  <si>
    <t>Nagaland</t>
  </si>
  <si>
    <t>Vasco da Gama</t>
  </si>
  <si>
    <t>Goa</t>
  </si>
  <si>
    <t>Itanagar</t>
  </si>
  <si>
    <t>Arunachal Pradesh</t>
  </si>
  <si>
    <t>Puducherry</t>
  </si>
  <si>
    <t>Aizwal</t>
  </si>
  <si>
    <t>Mizoram</t>
  </si>
  <si>
    <t>Chandigarh</t>
  </si>
  <si>
    <t>Gangtok</t>
  </si>
  <si>
    <t>Sikkim</t>
  </si>
  <si>
    <t>Silvassa</t>
  </si>
  <si>
    <t>Dadra and Nagar Haveli and Daman and Diu</t>
  </si>
  <si>
    <t>Leh</t>
  </si>
  <si>
    <t>Ladakh</t>
  </si>
  <si>
    <t>Kavaratti</t>
  </si>
  <si>
    <t>Lakshwadweep</t>
  </si>
  <si>
    <t>Lucknow</t>
  </si>
  <si>
    <t>Gaya</t>
  </si>
  <si>
    <t>Pune</t>
  </si>
  <si>
    <t>Asansol</t>
  </si>
  <si>
    <t>Bhopal</t>
  </si>
  <si>
    <t>Jodhpur</t>
  </si>
  <si>
    <t>Coimbatore</t>
  </si>
  <si>
    <t>Surat</t>
  </si>
  <si>
    <t>Hubballi - Dharwad</t>
  </si>
  <si>
    <t>Vijayawada</t>
  </si>
  <si>
    <t>Cuttack</t>
  </si>
  <si>
    <t>Warangal</t>
  </si>
  <si>
    <t>Kochi</t>
  </si>
  <si>
    <t>Dhanbad</t>
  </si>
  <si>
    <t>Silchar</t>
  </si>
  <si>
    <t>Amritsar</t>
  </si>
  <si>
    <t>Bhilai - Durg</t>
  </si>
  <si>
    <t>Gurugram</t>
  </si>
  <si>
    <t>Jammu</t>
  </si>
  <si>
    <t>Haridwar</t>
  </si>
  <si>
    <t>Dharamshala</t>
  </si>
  <si>
    <t>Dharmanagar</t>
  </si>
  <si>
    <t>Tura</t>
  </si>
  <si>
    <t>Churachandpur</t>
  </si>
  <si>
    <t>Kohima</t>
  </si>
  <si>
    <t>Madgaon</t>
  </si>
  <si>
    <t>Naharlagun</t>
  </si>
  <si>
    <t>Lunglei</t>
  </si>
  <si>
    <t>Namchi</t>
  </si>
  <si>
    <t>Dadhel</t>
  </si>
  <si>
    <t>Garacharma</t>
  </si>
  <si>
    <t>Kargil</t>
  </si>
  <si>
    <t>Ghaziabad</t>
  </si>
  <si>
    <t>Bhagalpur</t>
  </si>
  <si>
    <t>Nagpur</t>
  </si>
  <si>
    <t>Siliguri</t>
  </si>
  <si>
    <t>Jabalpur</t>
  </si>
  <si>
    <t>Kota</t>
  </si>
  <si>
    <t>Madurai</t>
  </si>
  <si>
    <t>Vadodara</t>
  </si>
  <si>
    <t>Mysuru</t>
  </si>
  <si>
    <t>Guntur</t>
  </si>
  <si>
    <t>Rourkela</t>
  </si>
  <si>
    <t>Nizamabad</t>
  </si>
  <si>
    <t>Kozhikode</t>
  </si>
  <si>
    <t>Ranchi</t>
  </si>
  <si>
    <t>Dibrugarh</t>
  </si>
  <si>
    <t>Jalandhar</t>
  </si>
  <si>
    <t>Korba</t>
  </si>
  <si>
    <t>Rohtak</t>
  </si>
  <si>
    <t>Anantnag</t>
  </si>
  <si>
    <t>Roorkee</t>
  </si>
  <si>
    <t>Mandi</t>
  </si>
  <si>
    <t>Udaipur</t>
  </si>
  <si>
    <t>Nongstoin</t>
  </si>
  <si>
    <t>Thoubal</t>
  </si>
  <si>
    <t>Chumoukedima</t>
  </si>
  <si>
    <t>Panjim</t>
  </si>
  <si>
    <t>Pasighat</t>
  </si>
  <si>
    <t>Champhai</t>
  </si>
  <si>
    <t>Rangpo</t>
  </si>
  <si>
    <t>Naroli</t>
  </si>
  <si>
    <t xml:space="preserve">Dadra and Nagar Haveli </t>
  </si>
  <si>
    <t>Daman</t>
  </si>
  <si>
    <t>Daman and Diu</t>
  </si>
  <si>
    <t>Prothrapur</t>
  </si>
  <si>
    <t>Choglamsar</t>
  </si>
  <si>
    <t>Agra</t>
  </si>
  <si>
    <t>Muzaffarpur</t>
  </si>
  <si>
    <t>Thane</t>
  </si>
  <si>
    <t>Durgapur</t>
  </si>
  <si>
    <t>Gwalior</t>
  </si>
  <si>
    <t>Bikaner</t>
  </si>
  <si>
    <t>Tiruchirappalli</t>
  </si>
  <si>
    <t>Rajkot</t>
  </si>
  <si>
    <t>Mangaluru</t>
  </si>
  <si>
    <t>Nellore</t>
  </si>
  <si>
    <t>Brahmapur</t>
  </si>
  <si>
    <t>Karimnagar</t>
  </si>
  <si>
    <t>Kollam</t>
  </si>
  <si>
    <t>Bokaro Steel City</t>
  </si>
  <si>
    <t>Jorhat</t>
  </si>
  <si>
    <t>Patiala</t>
  </si>
  <si>
    <t>Bilaspur</t>
  </si>
  <si>
    <t>Hisar</t>
  </si>
  <si>
    <t>Udhampur</t>
  </si>
  <si>
    <t>Haldwani - Kathgodam</t>
  </si>
  <si>
    <t>Solan</t>
  </si>
  <si>
    <t>Kailashahar</t>
  </si>
  <si>
    <t>Jowai</t>
  </si>
  <si>
    <t>Kakching</t>
  </si>
  <si>
    <t>Mokokchung</t>
  </si>
  <si>
    <t>Mapusa</t>
  </si>
  <si>
    <t>Aalo</t>
  </si>
  <si>
    <t>Saiha</t>
  </si>
  <si>
    <t>Jorethang</t>
  </si>
  <si>
    <t>Dadra</t>
  </si>
  <si>
    <t>Diu</t>
  </si>
  <si>
    <t>Bambooflat</t>
  </si>
  <si>
    <t>Spituk</t>
  </si>
  <si>
    <t>Varanasi</t>
  </si>
  <si>
    <t>Bihar Sharif</t>
  </si>
  <si>
    <t>Chhatrapati Sambhajinagar</t>
  </si>
  <si>
    <t>Ujjain</t>
  </si>
  <si>
    <t>Bhiwadi</t>
  </si>
  <si>
    <t>Salem</t>
  </si>
  <si>
    <t>Bhavnagar</t>
  </si>
  <si>
    <t>Belagavi</t>
  </si>
  <si>
    <t>Kurnool</t>
  </si>
  <si>
    <t>Sambalpur</t>
  </si>
  <si>
    <t>Khammam</t>
  </si>
  <si>
    <t>Thrissur</t>
  </si>
  <si>
    <t>Deoghar</t>
  </si>
  <si>
    <t>Nagaon</t>
  </si>
  <si>
    <t>Bathinda</t>
  </si>
  <si>
    <t>Rajnandgoan</t>
  </si>
  <si>
    <t>Panipat</t>
  </si>
  <si>
    <t>Baramulla</t>
  </si>
  <si>
    <t>Rudrapur</t>
  </si>
  <si>
    <t>Palampur</t>
  </si>
  <si>
    <t>Bishalgarh</t>
  </si>
  <si>
    <t>Madanriting</t>
  </si>
  <si>
    <t>Senapati</t>
  </si>
  <si>
    <t>Wokha</t>
  </si>
  <si>
    <t>Curchorem-Cacora</t>
  </si>
  <si>
    <t>Tezu</t>
  </si>
  <si>
    <t>Kolasib</t>
  </si>
  <si>
    <t>Rhenak</t>
  </si>
  <si>
    <t>Kachigam</t>
  </si>
  <si>
    <t>Bakutala</t>
  </si>
  <si>
    <t>Chongqing</t>
  </si>
  <si>
    <t>China</t>
  </si>
  <si>
    <t>Shanghai</t>
  </si>
  <si>
    <t>Beijing</t>
  </si>
  <si>
    <t>Chengdu</t>
  </si>
  <si>
    <t>Guangzhou</t>
  </si>
  <si>
    <t>USA</t>
  </si>
  <si>
    <t>New York</t>
  </si>
  <si>
    <t>Los Angeles</t>
  </si>
  <si>
    <t>New York City</t>
  </si>
  <si>
    <t>California</t>
  </si>
  <si>
    <t>Chicago</t>
  </si>
  <si>
    <t>Illinois</t>
  </si>
  <si>
    <t>Houston</t>
  </si>
  <si>
    <t>Texas</t>
  </si>
  <si>
    <t>Phoenix</t>
  </si>
  <si>
    <t>Arizona</t>
  </si>
  <si>
    <t>Urban Population</t>
  </si>
  <si>
    <t>Key Notes</t>
  </si>
  <si>
    <t xml:space="preserve">1. Urban Density is in the city is between 9800-11500. City Core  - the older, central parts of kanpur are the most crowded ones, holding over 30000 residents per sq km, while the newer outer areas are less crowded, averaging about 5600 people per sq km. 2. While average rural density of the city sits close to 587 people per sq km the outer rural regions has only 47.2 people per sq km. 3. Based on the official property tax records and Geographic Information System (GIS) surveys managed by KMC, the total number of assessed buildings and structures in Kanpur is approximately 4.5 to 6.2 Lakhs. Out of total buildings, residential covers 370000 - 530000, commercial - 60000-75000, and industrial - 17500-20000. </t>
  </si>
  <si>
    <t>1. The Kolkata Urban Aggolomeration includes Kolkata and Howrah wih other suburbs</t>
  </si>
  <si>
    <t>Indonesia</t>
  </si>
  <si>
    <t>Jakarta</t>
  </si>
  <si>
    <t>Surabaya</t>
  </si>
  <si>
    <t>Bekasi</t>
  </si>
  <si>
    <t>Bandung</t>
  </si>
  <si>
    <t>Medan</t>
  </si>
  <si>
    <t>Nigeria</t>
  </si>
  <si>
    <t>Lagos</t>
  </si>
  <si>
    <t>Kano</t>
  </si>
  <si>
    <t>Ibadan</t>
  </si>
  <si>
    <t>Abuja</t>
  </si>
  <si>
    <t>Port Harcourt</t>
  </si>
  <si>
    <t>Brazil</t>
  </si>
  <si>
    <t>Sao Paulo</t>
  </si>
  <si>
    <t>Rio de Janeiro</t>
  </si>
  <si>
    <t>Brasilia</t>
  </si>
  <si>
    <t>Fortaleza</t>
  </si>
  <si>
    <t>Salvador</t>
  </si>
  <si>
    <t>Nana Rao Park, Kanpur Memorial Church, Bithoor, Moti Jheel, Baba Anadeshwar mandir, ISCON Kanpur, JK Temple, Kanpur Zoological Park, Valmiki Ashram Temple, Green Park Stadium, Brahmavart Ghat, Satti Chaura ghat, Dhruv Teela, Bhitargaon Temple, Clock Tower</t>
  </si>
  <si>
    <t>Bangladesh</t>
  </si>
  <si>
    <t>Dhaka</t>
  </si>
  <si>
    <t>Chattogram</t>
  </si>
  <si>
    <t>1. Also known as Chittagong</t>
  </si>
  <si>
    <t>Savar</t>
  </si>
  <si>
    <t>Brahmanbaria</t>
  </si>
  <si>
    <t>Kishoreganj</t>
  </si>
  <si>
    <t>Key Landmarks</t>
  </si>
  <si>
    <t>Russia</t>
  </si>
  <si>
    <t>Moscow</t>
  </si>
  <si>
    <t>Saint Petersburg</t>
  </si>
  <si>
    <t>Novosibirsk</t>
  </si>
  <si>
    <t>Yekaterinburg</t>
  </si>
  <si>
    <t>Kazan</t>
  </si>
  <si>
    <t>Total Land Area</t>
  </si>
  <si>
    <t>Ethiopia</t>
  </si>
  <si>
    <t>Addis Ababa</t>
  </si>
  <si>
    <t>Adama</t>
  </si>
  <si>
    <t>Oromia</t>
  </si>
  <si>
    <t>Bahir Dar</t>
  </si>
  <si>
    <t>Amhara</t>
  </si>
  <si>
    <t>Dire Dawa</t>
  </si>
  <si>
    <t>Shashamane</t>
  </si>
  <si>
    <t>Residential Localities</t>
  </si>
  <si>
    <t>Industrial Localities</t>
  </si>
  <si>
    <t>Commercial Localities</t>
  </si>
  <si>
    <t>Road Length</t>
  </si>
  <si>
    <t>Intracity Rail Lenght</t>
  </si>
  <si>
    <t>Metro Length</t>
  </si>
  <si>
    <t>Subway Length</t>
  </si>
  <si>
    <t>Intracity Water Area</t>
  </si>
  <si>
    <t>Mexico</t>
  </si>
  <si>
    <t>Mexico City</t>
  </si>
  <si>
    <t>1. Locally known as Ciudad de Mexico</t>
  </si>
  <si>
    <t>Guadalajara</t>
  </si>
  <si>
    <t>Jalisco</t>
  </si>
  <si>
    <t>Monterrey</t>
  </si>
  <si>
    <t>Nuevo Leon</t>
  </si>
  <si>
    <t>Puebla</t>
  </si>
  <si>
    <t>Tijuana</t>
  </si>
  <si>
    <t>Baja California</t>
  </si>
  <si>
    <t>Japan</t>
  </si>
  <si>
    <t>Tram Track Length</t>
  </si>
  <si>
    <t>Public Road Transports available</t>
  </si>
  <si>
    <r>
      <t>Metro Phases Built (</t>
    </r>
    <r>
      <rPr>
        <b/>
        <i/>
        <sz val="9"/>
        <color theme="1"/>
        <rFont val="Aptos Narrow"/>
        <family val="2"/>
        <scheme val="minor"/>
      </rPr>
      <t>before 28-08-2026</t>
    </r>
    <r>
      <rPr>
        <b/>
        <i/>
        <sz val="11"/>
        <color theme="1"/>
        <rFont val="Aptos Narrow"/>
        <family val="2"/>
        <scheme val="minor"/>
      </rPr>
      <t>)</t>
    </r>
  </si>
  <si>
    <t>Tokyo</t>
  </si>
  <si>
    <t>Yokohama</t>
  </si>
  <si>
    <t>Osaka</t>
  </si>
  <si>
    <t>Nagoya</t>
  </si>
  <si>
    <t>Sapporo</t>
  </si>
  <si>
    <t>Hokkaido</t>
  </si>
  <si>
    <t>Tokya</t>
  </si>
  <si>
    <t>Egypt</t>
  </si>
  <si>
    <t>Cairo</t>
  </si>
  <si>
    <t>Alexandria</t>
  </si>
  <si>
    <t>Luxor</t>
  </si>
  <si>
    <t>Giza</t>
  </si>
  <si>
    <t>Banha</t>
  </si>
  <si>
    <t>Philippines</t>
  </si>
  <si>
    <t>Quezon City</t>
  </si>
  <si>
    <t>Davao City</t>
  </si>
  <si>
    <t>Manila</t>
  </si>
  <si>
    <t>Caloocan</t>
  </si>
  <si>
    <t>Taguig</t>
  </si>
  <si>
    <t>Federal</t>
  </si>
  <si>
    <t>DR Congo</t>
  </si>
  <si>
    <t>Kinshasa</t>
  </si>
  <si>
    <t>Lubumbashi</t>
  </si>
  <si>
    <t>Kananga</t>
  </si>
  <si>
    <t>Mbuji-Mayi</t>
  </si>
  <si>
    <t>Kisangani</t>
  </si>
  <si>
    <t>National Capital</t>
  </si>
  <si>
    <t>State / Regional Capital</t>
  </si>
  <si>
    <t>No</t>
  </si>
  <si>
    <t>Governed by</t>
  </si>
  <si>
    <t>Indian Centre, Uttar Pradesh State, and Kanpur Municipal</t>
  </si>
  <si>
    <t>Central, State, and Municipal Ruling Side</t>
  </si>
  <si>
    <t>Centre - BJP, State - BJP, Local -</t>
  </si>
  <si>
    <t>Vietnam</t>
  </si>
  <si>
    <t>Key Source of city's GDP</t>
  </si>
  <si>
    <t>Ho Chi Minh City</t>
  </si>
  <si>
    <t>Hanoi</t>
  </si>
  <si>
    <t>Hai Phong</t>
  </si>
  <si>
    <t>Da Nang</t>
  </si>
  <si>
    <t>Can Tho</t>
  </si>
  <si>
    <t>Iran</t>
  </si>
  <si>
    <t>Tehran</t>
  </si>
  <si>
    <t>Mashhad</t>
  </si>
  <si>
    <t>Isfahan</t>
  </si>
  <si>
    <t>Karaj</t>
  </si>
  <si>
    <t>Shiraz</t>
  </si>
  <si>
    <t>Turkey</t>
  </si>
  <si>
    <t>Istanbul</t>
  </si>
  <si>
    <t>Ankara</t>
  </si>
  <si>
    <t>Izmir</t>
  </si>
  <si>
    <t>Bursa</t>
  </si>
  <si>
    <t>Adana</t>
  </si>
  <si>
    <t>Germany</t>
  </si>
  <si>
    <t>Berlin</t>
  </si>
  <si>
    <t>Hamburg</t>
  </si>
  <si>
    <t>Munich</t>
  </si>
  <si>
    <t>Cologne</t>
  </si>
  <si>
    <t>Frankfurt am Main</t>
  </si>
  <si>
    <t>1. Here Frankfurt am Main mean "Frankfurt on the Main" refering to the river Main.</t>
  </si>
  <si>
    <t>Pakistan</t>
  </si>
  <si>
    <t>Karachi</t>
  </si>
  <si>
    <t>Tanzania</t>
  </si>
  <si>
    <t>Dar es Salaam</t>
  </si>
  <si>
    <t>Mwanza</t>
  </si>
  <si>
    <t>Dodoma</t>
  </si>
  <si>
    <t>Zanzibar City</t>
  </si>
  <si>
    <t>Arusha</t>
  </si>
  <si>
    <t>Thailand</t>
  </si>
  <si>
    <t>Bangkok</t>
  </si>
  <si>
    <t>Nakhon Ratchasima</t>
  </si>
  <si>
    <t>Ubon Ratchathani</t>
  </si>
  <si>
    <t>Khon Kaen</t>
  </si>
  <si>
    <t>Chiang Mai</t>
  </si>
  <si>
    <t>UK</t>
  </si>
  <si>
    <t>London</t>
  </si>
  <si>
    <t>Birmingham</t>
  </si>
  <si>
    <t>Manchester</t>
  </si>
  <si>
    <t>Liverpool</t>
  </si>
  <si>
    <t>Leeds</t>
  </si>
  <si>
    <t>France</t>
  </si>
  <si>
    <t>Paris</t>
  </si>
  <si>
    <t>Marseille</t>
  </si>
  <si>
    <t>Lyon</t>
  </si>
  <si>
    <t>Toulouse</t>
  </si>
  <si>
    <t>Nice</t>
  </si>
  <si>
    <t>South Africa</t>
  </si>
  <si>
    <t>Johannesburg</t>
  </si>
  <si>
    <t>Cape Town</t>
  </si>
  <si>
    <t>Durban</t>
  </si>
  <si>
    <t>Pretoria</t>
  </si>
  <si>
    <t>Gqebertha</t>
  </si>
  <si>
    <t>1. Also known as Port Elizabeth</t>
  </si>
  <si>
    <t>Gauteng</t>
  </si>
  <si>
    <t>Western Cape</t>
  </si>
  <si>
    <t>KwaZulu-Natal</t>
  </si>
  <si>
    <t>Eastern Cape</t>
  </si>
  <si>
    <t>Italy</t>
  </si>
  <si>
    <t>Rome</t>
  </si>
  <si>
    <t>Milan</t>
  </si>
  <si>
    <t>Naples</t>
  </si>
  <si>
    <t>Turin</t>
  </si>
  <si>
    <t>Palermo</t>
  </si>
  <si>
    <t>Kenya</t>
  </si>
  <si>
    <t>Nairobi</t>
  </si>
  <si>
    <t>Mombasa</t>
  </si>
  <si>
    <t>Nakuru</t>
  </si>
  <si>
    <t>Kisumu</t>
  </si>
  <si>
    <t>Eldoret</t>
  </si>
  <si>
    <t>Myanmar</t>
  </si>
  <si>
    <t>Yangon</t>
  </si>
  <si>
    <t>Mandalay</t>
  </si>
  <si>
    <t>Naypyidaw</t>
  </si>
  <si>
    <t>Bago</t>
  </si>
  <si>
    <t>Myeik</t>
  </si>
  <si>
    <t>Colombia</t>
  </si>
  <si>
    <t>Bogota</t>
  </si>
  <si>
    <t>Medellin</t>
  </si>
  <si>
    <t>Cali</t>
  </si>
  <si>
    <t>Barranquilla</t>
  </si>
  <si>
    <t>Cartagena</t>
  </si>
  <si>
    <t>Sudan</t>
  </si>
  <si>
    <t>Khartoum</t>
  </si>
  <si>
    <t>Uganda</t>
  </si>
  <si>
    <t>Kampala</t>
  </si>
  <si>
    <t>Mbale City</t>
  </si>
  <si>
    <t>Bukalasi</t>
  </si>
  <si>
    <t>Jinja</t>
  </si>
  <si>
    <t>Mbarara</t>
  </si>
  <si>
    <t>South Korea</t>
  </si>
  <si>
    <t>Seoul</t>
  </si>
  <si>
    <t>Busan</t>
  </si>
  <si>
    <t>Incheon</t>
  </si>
  <si>
    <t>Daegu</t>
  </si>
  <si>
    <t>Daejeon</t>
  </si>
  <si>
    <t>Algeria</t>
  </si>
  <si>
    <t>Algiers</t>
  </si>
  <si>
    <t>Oran</t>
  </si>
  <si>
    <t>Iraq</t>
  </si>
  <si>
    <t>Baghdad</t>
  </si>
  <si>
    <t>Basra</t>
  </si>
  <si>
    <t>Spain</t>
  </si>
  <si>
    <t>Madrid</t>
  </si>
  <si>
    <t>Barcelona</t>
  </si>
  <si>
    <t>Valencia</t>
  </si>
  <si>
    <t>Argentina</t>
  </si>
  <si>
    <t>Buenos Aires</t>
  </si>
  <si>
    <t>Cordoba</t>
  </si>
  <si>
    <t>Rosario</t>
  </si>
  <si>
    <t>Mendoza</t>
  </si>
  <si>
    <t>San Miguel de Tucuman</t>
  </si>
  <si>
    <t>Afghanistan</t>
  </si>
  <si>
    <t>Kabul</t>
  </si>
  <si>
    <t>Kandahar</t>
  </si>
  <si>
    <t>Herat</t>
  </si>
  <si>
    <t>Mazar-i-Sharif</t>
  </si>
  <si>
    <t>Yemen</t>
  </si>
  <si>
    <t>Sanaa</t>
  </si>
  <si>
    <t>Canada</t>
  </si>
  <si>
    <t>Toronto</t>
  </si>
  <si>
    <t>Ontario</t>
  </si>
  <si>
    <t>Montreal</t>
  </si>
  <si>
    <t>Quebec</t>
  </si>
  <si>
    <t>Calgary</t>
  </si>
  <si>
    <t>Alberta</t>
  </si>
  <si>
    <t>Ottawa</t>
  </si>
  <si>
    <t>Edmonton</t>
  </si>
  <si>
    <t>Australia</t>
  </si>
  <si>
    <t>Sydney</t>
  </si>
  <si>
    <t>Melbourne</t>
  </si>
  <si>
    <t>Brisbane</t>
  </si>
  <si>
    <t>Queensland</t>
  </si>
  <si>
    <t>Perth</t>
  </si>
  <si>
    <t>Adelaide</t>
  </si>
  <si>
    <t>South Australia</t>
  </si>
  <si>
    <t>Netherlands</t>
  </si>
  <si>
    <t>Amsterdam</t>
  </si>
  <si>
    <t>Rotterdam</t>
  </si>
  <si>
    <t>The Hague</t>
  </si>
  <si>
    <t>Utrecht</t>
  </si>
  <si>
    <t>Eindhoven</t>
  </si>
  <si>
    <t>UAE</t>
  </si>
  <si>
    <t>Dubai</t>
  </si>
  <si>
    <t>Abu Dhabi</t>
  </si>
  <si>
    <t>Sharjah</t>
  </si>
  <si>
    <t>Al Ain</t>
  </si>
  <si>
    <t>Ajman</t>
  </si>
  <si>
    <t>Switzerland</t>
  </si>
  <si>
    <t>Zurich</t>
  </si>
  <si>
    <t>Geneva</t>
  </si>
  <si>
    <t>Basel</t>
  </si>
  <si>
    <t>Lausanne</t>
  </si>
  <si>
    <t>Bern</t>
  </si>
  <si>
    <t>Belgium</t>
  </si>
  <si>
    <t>Brussels</t>
  </si>
  <si>
    <t>Antwerp</t>
  </si>
  <si>
    <t>Sweden</t>
  </si>
  <si>
    <t>Stockholm</t>
  </si>
  <si>
    <t>Athens</t>
  </si>
  <si>
    <t>Greece</t>
  </si>
  <si>
    <t>Portugal</t>
  </si>
  <si>
    <t>Lisbon</t>
  </si>
  <si>
    <t>Israel</t>
  </si>
  <si>
    <t>Jerusalem</t>
  </si>
  <si>
    <t>Tel Aviv</t>
  </si>
  <si>
    <t>Denmark</t>
  </si>
  <si>
    <t>Copenhagen</t>
  </si>
  <si>
    <t>Norway</t>
  </si>
  <si>
    <t>Oslo</t>
  </si>
  <si>
    <t>Finland</t>
  </si>
  <si>
    <t>Helsinki</t>
  </si>
  <si>
    <t>New Zealand</t>
  </si>
  <si>
    <t>Saudi Arabia</t>
  </si>
  <si>
    <t>Auckland</t>
  </si>
  <si>
    <t>Christchurch</t>
  </si>
  <si>
    <t>Wellington</t>
  </si>
  <si>
    <t>Hamilton</t>
  </si>
  <si>
    <t>Riyadh</t>
  </si>
  <si>
    <t>Jeddah</t>
  </si>
  <si>
    <t>Mecca</t>
  </si>
  <si>
    <t>Medina</t>
  </si>
  <si>
    <t>Total Metropolitan Area</t>
  </si>
  <si>
    <t>Total Water Area</t>
  </si>
  <si>
    <t xml:space="preserve">Popular Industry - Raw material Extraction </t>
  </si>
  <si>
    <t>Popular Industry - Manufacturing, Processing, and Refining</t>
  </si>
  <si>
    <t>Leather and Footwear; Industrial and Polymer Machinery; Defence Production; FMCG &amp; Detergents; Synthetic and Hosiery Processing; Industrial Packaging; Flour, Pulse, Oil Mills; Sugar Derivative Processing</t>
  </si>
  <si>
    <t>Leather, FMCG and Chemical, Logistics</t>
  </si>
  <si>
    <t xml:space="preserve">Popular Industry - Agriculture and Animal Husbandary </t>
  </si>
  <si>
    <t>Yes</t>
  </si>
  <si>
    <t>Total Urban Area</t>
  </si>
  <si>
    <t>Total District</t>
  </si>
  <si>
    <t>Master Plan 2031</t>
  </si>
  <si>
    <t>Major Source of Employment</t>
  </si>
  <si>
    <t>Major Source of Income</t>
  </si>
  <si>
    <t>Manufacturing</t>
  </si>
  <si>
    <t>Sevices and Manufacturing</t>
  </si>
  <si>
    <t>Trade, Logistics, and Transportation</t>
  </si>
  <si>
    <t>Commerce, Administration, IT, Tourism, and Financial Services</t>
  </si>
  <si>
    <t>Tourism and Hospitality</t>
  </si>
  <si>
    <t>Manufacturing and Agriculture</t>
  </si>
  <si>
    <t>1. Even though Itar is connected to Kannuag as it is the place where perfumes are created and the city is known for one of the best perfume creators of India, the perfume industry in connected to Lucknow as the city has been the market place for the Kannuag perfumes since Mughal period</t>
  </si>
  <si>
    <t>NA</t>
  </si>
  <si>
    <t>Sand and Murram</t>
  </si>
  <si>
    <t>Sand Mining</t>
  </si>
  <si>
    <t>Sandstone and Structural Stone</t>
  </si>
  <si>
    <t>Sand Mining, Clay Extraction, Limestone, Laterite, and Stone Crushing</t>
  </si>
  <si>
    <t>Potato, Wheat, Rice, Bovine Milk and Meat, Leather</t>
  </si>
  <si>
    <t xml:space="preserve">Mango, </t>
  </si>
  <si>
    <t>Bardhaman</t>
  </si>
  <si>
    <t>Rice,</t>
  </si>
  <si>
    <t>Sichuan</t>
  </si>
  <si>
    <t>Guangdong</t>
  </si>
  <si>
    <t>Sorghum,</t>
  </si>
  <si>
    <t>Pearl Millet.</t>
  </si>
  <si>
    <t>Pearl Millet,</t>
  </si>
  <si>
    <t>Finger Millet,</t>
  </si>
  <si>
    <t>Sorghum, Pearl Millet, Small Millets,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</si>
</sst>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i/>
      <sz val="11"/>
      <color theme="1"/>
      <name val="Aptos Narrow"/>
      <family val="2"/>
      <scheme val="minor"/>
    </font>
    <font>
      <b/>
      <i/>
      <sz val="9"/>
      <color theme="1"/>
      <name val="Aptos Narrow"/>
      <family val="2"/>
      <scheme val="minor"/>
    </font>
    <font>
      <sz val="9"/>
      <color indexed="81"/>
      <name val="Tahom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Steelras Gengacross" id="{60AEF128-6059-4512-935A-31E36262D68C}" userId="1bc8818e58ca8cf9"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 dT="2026-09-17T07:21:23.00" personId="{60AEF128-6059-4512-935A-31E36262D68C}" id="{CA44294B-4B89-47B9-9565-F5F463A496C2}">
    <text xml:space="preserve">Startr from the agricultural product of the cities based on the top five producers of any particular agriculrutral prodcuts starting from pulses from chickpea onwards.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1FA13-DB0D-497A-B6C5-796636F8E018}">
  <dimension ref="A1:AJ451"/>
  <sheetViews>
    <sheetView tabSelected="1" workbookViewId="0">
      <selection activeCell="E14" sqref="E14"/>
    </sheetView>
  </sheetViews>
  <sheetFormatPr defaultRowHeight="14.4" x14ac:dyDescent="0.3"/>
  <cols>
    <col min="1" max="1" width="23.109375" style="1" bestFit="1" customWidth="1"/>
    <col min="2" max="2" width="11.5546875" style="1" bestFit="1" customWidth="1"/>
    <col min="3" max="3" width="36.21875" style="1" bestFit="1" customWidth="1"/>
    <col min="4" max="4" width="15" style="1" bestFit="1" customWidth="1"/>
    <col min="5" max="6" width="20.88671875" style="1" bestFit="1" customWidth="1"/>
    <col min="7" max="7" width="14.33203125" style="1" bestFit="1" customWidth="1"/>
    <col min="8" max="8" width="15.33203125" style="1" bestFit="1" customWidth="1"/>
    <col min="9" max="9" width="15.21875" style="1" bestFit="1" customWidth="1"/>
    <col min="10" max="10" width="12.109375" style="1" bestFit="1" customWidth="1"/>
    <col min="11" max="11" width="15.77734375" style="1" bestFit="1" customWidth="1"/>
    <col min="12" max="12" width="25.109375" style="1" bestFit="1" customWidth="1"/>
    <col min="13" max="13" width="20.88671875" style="1" bestFit="1" customWidth="1"/>
    <col min="14" max="14" width="53.5546875" style="1" bestFit="1" customWidth="1"/>
    <col min="15" max="15" width="46.44140625" style="1" bestFit="1" customWidth="1"/>
    <col min="16" max="16" width="49.6640625" style="1" bestFit="1" customWidth="1"/>
    <col min="17" max="17" width="21.33203125" style="1" bestFit="1" customWidth="1"/>
    <col min="18" max="18" width="10.44140625" style="1" bestFit="1" customWidth="1"/>
    <col min="19" max="19" width="17" style="1" bestFit="1" customWidth="1"/>
    <col min="20" max="20" width="15.77734375" style="1" bestFit="1" customWidth="1"/>
    <col min="21" max="21" width="13" style="1" bestFit="1" customWidth="1"/>
    <col min="22" max="22" width="11.6640625" style="1" bestFit="1" customWidth="1"/>
    <col min="23" max="23" width="28.5546875" style="1" bestFit="1" customWidth="1"/>
    <col min="24" max="24" width="16.5546875" style="1" bestFit="1" customWidth="1"/>
    <col min="25" max="25" width="12.21875" style="1" bestFit="1" customWidth="1"/>
    <col min="26" max="26" width="13.88671875" style="1" bestFit="1" customWidth="1"/>
    <col min="27" max="27" width="18" style="1" bestFit="1" customWidth="1"/>
    <col min="28" max="28" width="18.21875" style="1" bestFit="1" customWidth="1"/>
    <col min="29" max="29" width="31.88671875" style="1" bestFit="1" customWidth="1"/>
    <col min="30" max="30" width="19.33203125" style="1" bestFit="1" customWidth="1"/>
    <col min="31" max="31" width="18" style="1" bestFit="1" customWidth="1"/>
    <col min="32" max="32" width="20.109375" style="1" bestFit="1" customWidth="1"/>
    <col min="33" max="33" width="47" style="1" bestFit="1" customWidth="1"/>
    <col min="34" max="34" width="35.33203125" style="1" bestFit="1" customWidth="1"/>
    <col min="35" max="35" width="74.88671875" style="1" bestFit="1" customWidth="1"/>
    <col min="36" max="36" width="110.44140625" style="1" bestFit="1" customWidth="1"/>
    <col min="37" max="37" width="15.88671875" style="1" bestFit="1" customWidth="1"/>
    <col min="38" max="38" width="24.77734375" style="1" bestFit="1" customWidth="1"/>
    <col min="39" max="39" width="24.109375" style="1" bestFit="1" customWidth="1"/>
    <col min="40" max="40" width="13.88671875" style="1" bestFit="1" customWidth="1"/>
    <col min="41" max="41" width="13.33203125" style="1" bestFit="1" customWidth="1"/>
    <col min="42" max="42" width="14.33203125" style="1" bestFit="1" customWidth="1"/>
    <col min="43" max="43" width="15" style="1" bestFit="1" customWidth="1"/>
    <col min="44" max="44" width="9.5546875" style="1" bestFit="1" customWidth="1"/>
    <col min="45" max="45" width="15.88671875" style="1" bestFit="1" customWidth="1"/>
    <col min="46" max="46" width="12.109375" style="1" bestFit="1" customWidth="1"/>
    <col min="47" max="47" width="31.77734375" style="1" bestFit="1" customWidth="1"/>
    <col min="48" max="16384" width="8.88671875" style="1"/>
  </cols>
  <sheetData>
    <row r="1" spans="1:36" s="3" customFormat="1" x14ac:dyDescent="0.3">
      <c r="A1" s="3" t="s">
        <v>0</v>
      </c>
      <c r="B1" s="3" t="s">
        <v>1</v>
      </c>
      <c r="C1" s="3" t="s">
        <v>3</v>
      </c>
      <c r="D1" s="3" t="s">
        <v>318</v>
      </c>
      <c r="E1" s="3" t="s">
        <v>319</v>
      </c>
      <c r="F1" s="3" t="s">
        <v>512</v>
      </c>
      <c r="G1" s="3" t="s">
        <v>261</v>
      </c>
      <c r="H1" s="3" t="s">
        <v>513</v>
      </c>
      <c r="I1" s="3" t="s">
        <v>520</v>
      </c>
      <c r="J1" s="3" t="s">
        <v>521</v>
      </c>
      <c r="K1" s="3" t="s">
        <v>522</v>
      </c>
      <c r="L1" s="3" t="s">
        <v>523</v>
      </c>
      <c r="M1" s="3" t="s">
        <v>524</v>
      </c>
      <c r="N1" s="3" t="s">
        <v>514</v>
      </c>
      <c r="O1" s="3" t="s">
        <v>518</v>
      </c>
      <c r="P1" s="3" t="s">
        <v>515</v>
      </c>
      <c r="Q1" s="3" t="s">
        <v>326</v>
      </c>
      <c r="R1" s="3" t="s">
        <v>4</v>
      </c>
      <c r="S1" s="3" t="s">
        <v>5</v>
      </c>
      <c r="T1" s="3" t="s">
        <v>224</v>
      </c>
      <c r="U1" s="3" t="s">
        <v>6</v>
      </c>
      <c r="V1" s="3" t="s">
        <v>273</v>
      </c>
      <c r="W1" s="3" t="s">
        <v>290</v>
      </c>
      <c r="X1" s="3" t="s">
        <v>289</v>
      </c>
      <c r="Y1" s="3" t="s">
        <v>275</v>
      </c>
      <c r="Z1" s="3" t="s">
        <v>276</v>
      </c>
      <c r="AA1" s="3" t="s">
        <v>274</v>
      </c>
      <c r="AB1" s="3" t="s">
        <v>277</v>
      </c>
      <c r="AC1" s="3" t="s">
        <v>291</v>
      </c>
      <c r="AD1" s="3" t="s">
        <v>270</v>
      </c>
      <c r="AE1" s="3" t="s">
        <v>271</v>
      </c>
      <c r="AF1" s="3" t="s">
        <v>272</v>
      </c>
      <c r="AG1" s="3" t="s">
        <v>321</v>
      </c>
      <c r="AH1" s="3" t="s">
        <v>323</v>
      </c>
      <c r="AI1" s="3" t="s">
        <v>254</v>
      </c>
      <c r="AJ1" s="3" t="s">
        <v>225</v>
      </c>
    </row>
    <row r="2" spans="1:36" ht="86.4" x14ac:dyDescent="0.3">
      <c r="A2" s="1" t="s">
        <v>10</v>
      </c>
      <c r="B2" s="1" t="s">
        <v>8</v>
      </c>
      <c r="C2" s="1" t="s">
        <v>11</v>
      </c>
      <c r="D2" s="1" t="s">
        <v>320</v>
      </c>
      <c r="E2" s="1" t="s">
        <v>320</v>
      </c>
      <c r="F2" s="1">
        <v>1484</v>
      </c>
      <c r="G2" s="1">
        <f>F2-H2</f>
        <v>1446.9</v>
      </c>
      <c r="H2" s="1">
        <f>0.025*F2</f>
        <v>37.1</v>
      </c>
      <c r="I2" s="1">
        <v>403.7</v>
      </c>
      <c r="J2" s="1">
        <v>3155</v>
      </c>
      <c r="K2" s="1">
        <v>580.78</v>
      </c>
      <c r="L2" s="2" t="s">
        <v>525</v>
      </c>
      <c r="M2" s="2" t="s">
        <v>526</v>
      </c>
      <c r="N2" s="2" t="s">
        <v>532</v>
      </c>
      <c r="O2" s="2" t="s">
        <v>537</v>
      </c>
      <c r="P2" s="2" t="s">
        <v>516</v>
      </c>
      <c r="Q2" s="2" t="s">
        <v>517</v>
      </c>
      <c r="R2" s="1">
        <v>4398000</v>
      </c>
      <c r="S2" s="1">
        <v>9800</v>
      </c>
      <c r="T2" s="1">
        <v>3016000</v>
      </c>
      <c r="U2" s="1">
        <v>10650</v>
      </c>
      <c r="AA2" s="1" t="str">
        <f>IF(OR(Y2="", Z2=""), "", Y2+Z2)</f>
        <v/>
      </c>
      <c r="AG2" s="1" t="s">
        <v>322</v>
      </c>
      <c r="AH2" s="1" t="s">
        <v>324</v>
      </c>
      <c r="AI2" s="2" t="s">
        <v>246</v>
      </c>
      <c r="AJ2" s="2" t="s">
        <v>226</v>
      </c>
    </row>
    <row r="3" spans="1:36" x14ac:dyDescent="0.3">
      <c r="A3" s="1" t="s">
        <v>207</v>
      </c>
      <c r="B3" s="1" t="s">
        <v>208</v>
      </c>
      <c r="C3" s="1" t="s">
        <v>311</v>
      </c>
      <c r="U3" s="2"/>
      <c r="V3" s="2"/>
      <c r="W3" s="2"/>
      <c r="X3" s="2"/>
      <c r="Y3" s="2"/>
      <c r="Z3" s="2"/>
      <c r="AA3" s="1" t="str">
        <f t="shared" ref="AA3:AA108" si="0">IF(OR(Y3="", Z3=""), "", Y3+Z3)</f>
        <v/>
      </c>
      <c r="AD3" s="2"/>
      <c r="AE3" s="2"/>
      <c r="AF3" s="2"/>
      <c r="AG3" s="2"/>
      <c r="AH3" s="2"/>
      <c r="AI3" s="2"/>
      <c r="AJ3" s="2"/>
    </row>
    <row r="4" spans="1:36" x14ac:dyDescent="0.3">
      <c r="A4" s="1" t="s">
        <v>12</v>
      </c>
      <c r="B4" s="1" t="s">
        <v>8</v>
      </c>
      <c r="C4" s="1" t="s">
        <v>13</v>
      </c>
      <c r="AA4" s="1" t="str">
        <f t="shared" si="0"/>
        <v/>
      </c>
    </row>
    <row r="5" spans="1:36" x14ac:dyDescent="0.3">
      <c r="A5" s="1" t="s">
        <v>216</v>
      </c>
      <c r="B5" s="1" t="s">
        <v>213</v>
      </c>
      <c r="C5" s="1" t="s">
        <v>214</v>
      </c>
      <c r="AA5" s="1" t="str">
        <f t="shared" si="0"/>
        <v/>
      </c>
    </row>
    <row r="6" spans="1:36" x14ac:dyDescent="0.3">
      <c r="A6" s="1" t="s">
        <v>450</v>
      </c>
      <c r="B6" s="1" t="s">
        <v>449</v>
      </c>
      <c r="C6" s="1" t="s">
        <v>451</v>
      </c>
    </row>
    <row r="7" spans="1:36" x14ac:dyDescent="0.3">
      <c r="A7" s="1" t="s">
        <v>14</v>
      </c>
      <c r="B7" s="1" t="s">
        <v>8</v>
      </c>
      <c r="C7" s="1" t="s">
        <v>15</v>
      </c>
      <c r="AA7" s="1" t="str">
        <f t="shared" si="0"/>
        <v/>
      </c>
    </row>
    <row r="8" spans="1:36" x14ac:dyDescent="0.3">
      <c r="A8" s="1" t="s">
        <v>229</v>
      </c>
      <c r="B8" s="1" t="s">
        <v>228</v>
      </c>
      <c r="AA8" s="1" t="str">
        <f t="shared" si="0"/>
        <v/>
      </c>
    </row>
    <row r="9" spans="1:36" x14ac:dyDescent="0.3">
      <c r="A9" s="1" t="s">
        <v>16</v>
      </c>
      <c r="B9" s="1" t="s">
        <v>8</v>
      </c>
      <c r="C9" s="1" t="s">
        <v>17</v>
      </c>
      <c r="AA9" s="1" t="str">
        <f t="shared" si="0"/>
        <v/>
      </c>
      <c r="AJ9" s="1" t="s">
        <v>227</v>
      </c>
    </row>
    <row r="10" spans="1:36" x14ac:dyDescent="0.3">
      <c r="A10" s="1" t="s">
        <v>235</v>
      </c>
      <c r="B10" s="1" t="s">
        <v>234</v>
      </c>
      <c r="AA10" s="1" t="str">
        <f t="shared" si="0"/>
        <v/>
      </c>
    </row>
    <row r="11" spans="1:36" x14ac:dyDescent="0.3">
      <c r="A11" s="1" t="s">
        <v>18</v>
      </c>
      <c r="B11" s="1" t="s">
        <v>8</v>
      </c>
      <c r="C11" s="1" t="s">
        <v>19</v>
      </c>
      <c r="AA11" s="1" t="str">
        <f t="shared" si="0"/>
        <v/>
      </c>
    </row>
    <row r="12" spans="1:36" x14ac:dyDescent="0.3">
      <c r="A12" s="1" t="s">
        <v>241</v>
      </c>
      <c r="B12" s="1" t="s">
        <v>240</v>
      </c>
      <c r="AA12" s="1" t="str">
        <f t="shared" si="0"/>
        <v/>
      </c>
    </row>
    <row r="13" spans="1:36" x14ac:dyDescent="0.3">
      <c r="A13" s="1" t="s">
        <v>459</v>
      </c>
      <c r="B13" s="1" t="s">
        <v>458</v>
      </c>
    </row>
    <row r="14" spans="1:36" x14ac:dyDescent="0.3">
      <c r="A14" s="1" t="s">
        <v>20</v>
      </c>
      <c r="B14" s="1" t="s">
        <v>8</v>
      </c>
      <c r="C14" s="1" t="s">
        <v>21</v>
      </c>
      <c r="O14" s="1" t="s">
        <v>544</v>
      </c>
      <c r="AA14" s="1" t="str">
        <f t="shared" si="0"/>
        <v/>
      </c>
    </row>
    <row r="15" spans="1:36" x14ac:dyDescent="0.3">
      <c r="A15" s="1" t="s">
        <v>248</v>
      </c>
      <c r="B15" s="1" t="s">
        <v>247</v>
      </c>
      <c r="O15" s="1" t="s">
        <v>540</v>
      </c>
      <c r="AA15" s="1" t="str">
        <f t="shared" si="0"/>
        <v/>
      </c>
    </row>
    <row r="16" spans="1:36" x14ac:dyDescent="0.3">
      <c r="A16" s="1" t="s">
        <v>22</v>
      </c>
      <c r="B16" s="1" t="s">
        <v>8</v>
      </c>
      <c r="C16" s="1" t="s">
        <v>23</v>
      </c>
      <c r="AA16" s="1" t="str">
        <f t="shared" si="0"/>
        <v/>
      </c>
    </row>
    <row r="17" spans="1:36" x14ac:dyDescent="0.3">
      <c r="A17" s="1" t="s">
        <v>256</v>
      </c>
      <c r="B17" s="1" t="s">
        <v>255</v>
      </c>
      <c r="AA17" s="1" t="str">
        <f t="shared" si="0"/>
        <v/>
      </c>
    </row>
    <row r="18" spans="1:36" x14ac:dyDescent="0.3">
      <c r="A18" s="1" t="s">
        <v>467</v>
      </c>
      <c r="B18" s="1" t="s">
        <v>466</v>
      </c>
    </row>
    <row r="19" spans="1:36" x14ac:dyDescent="0.3">
      <c r="A19" s="1" t="s">
        <v>24</v>
      </c>
      <c r="B19" s="1" t="s">
        <v>8</v>
      </c>
      <c r="C19" s="1" t="s">
        <v>25</v>
      </c>
      <c r="AA19" s="1" t="str">
        <f t="shared" si="0"/>
        <v/>
      </c>
    </row>
    <row r="20" spans="1:36" x14ac:dyDescent="0.3">
      <c r="A20" s="1" t="s">
        <v>263</v>
      </c>
      <c r="B20" s="1" t="s">
        <v>262</v>
      </c>
      <c r="AA20" s="1" t="str">
        <f t="shared" si="0"/>
        <v/>
      </c>
    </row>
    <row r="21" spans="1:36" x14ac:dyDescent="0.3">
      <c r="A21" s="1" t="s">
        <v>26</v>
      </c>
      <c r="B21" s="1" t="s">
        <v>8</v>
      </c>
      <c r="C21" s="1" t="s">
        <v>27</v>
      </c>
      <c r="O21" s="1" t="s">
        <v>546</v>
      </c>
      <c r="AA21" s="1" t="str">
        <f t="shared" si="0"/>
        <v/>
      </c>
    </row>
    <row r="22" spans="1:36" x14ac:dyDescent="0.3">
      <c r="A22" s="1" t="s">
        <v>279</v>
      </c>
      <c r="B22" s="1" t="s">
        <v>278</v>
      </c>
      <c r="AA22" s="1" t="str">
        <f t="shared" si="0"/>
        <v/>
      </c>
      <c r="AJ22" s="1" t="s">
        <v>280</v>
      </c>
    </row>
    <row r="23" spans="1:36" x14ac:dyDescent="0.3">
      <c r="A23" s="1" t="s">
        <v>473</v>
      </c>
      <c r="B23" s="1" t="s">
        <v>472</v>
      </c>
    </row>
    <row r="24" spans="1:36" x14ac:dyDescent="0.3">
      <c r="A24" s="1" t="s">
        <v>28</v>
      </c>
      <c r="B24" s="1" t="s">
        <v>8</v>
      </c>
      <c r="C24" s="1" t="s">
        <v>29</v>
      </c>
      <c r="AA24" s="1" t="str">
        <f t="shared" si="0"/>
        <v/>
      </c>
    </row>
    <row r="25" spans="1:36" x14ac:dyDescent="0.3">
      <c r="A25" s="1" t="s">
        <v>292</v>
      </c>
      <c r="B25" s="1" t="s">
        <v>288</v>
      </c>
      <c r="C25" s="1" t="s">
        <v>298</v>
      </c>
    </row>
    <row r="26" spans="1:36" x14ac:dyDescent="0.3">
      <c r="A26" s="1" t="s">
        <v>30</v>
      </c>
      <c r="B26" s="1" t="s">
        <v>8</v>
      </c>
      <c r="C26" s="1" t="s">
        <v>31</v>
      </c>
      <c r="AA26" s="1" t="str">
        <f t="shared" si="0"/>
        <v/>
      </c>
    </row>
    <row r="27" spans="1:36" x14ac:dyDescent="0.3">
      <c r="A27" s="1" t="s">
        <v>300</v>
      </c>
      <c r="B27" s="1" t="s">
        <v>299</v>
      </c>
    </row>
    <row r="28" spans="1:36" x14ac:dyDescent="0.3">
      <c r="A28" s="1" t="s">
        <v>479</v>
      </c>
      <c r="B28" s="1" t="s">
        <v>478</v>
      </c>
    </row>
    <row r="29" spans="1:36" x14ac:dyDescent="0.3">
      <c r="A29" s="1" t="s">
        <v>32</v>
      </c>
      <c r="B29" s="1" t="s">
        <v>8</v>
      </c>
      <c r="C29" s="1" t="s">
        <v>33</v>
      </c>
      <c r="AA29" s="1" t="str">
        <f t="shared" si="0"/>
        <v/>
      </c>
    </row>
    <row r="30" spans="1:36" x14ac:dyDescent="0.3">
      <c r="A30" s="1" t="s">
        <v>306</v>
      </c>
      <c r="B30" s="1" t="s">
        <v>305</v>
      </c>
      <c r="C30" s="1" t="s">
        <v>311</v>
      </c>
    </row>
    <row r="31" spans="1:36" x14ac:dyDescent="0.3">
      <c r="A31" s="1" t="s">
        <v>34</v>
      </c>
      <c r="B31" s="1" t="s">
        <v>8</v>
      </c>
      <c r="C31" s="1" t="s">
        <v>35</v>
      </c>
      <c r="AA31" s="1" t="str">
        <f t="shared" si="0"/>
        <v/>
      </c>
    </row>
    <row r="32" spans="1:36" x14ac:dyDescent="0.3">
      <c r="A32" s="1" t="s">
        <v>313</v>
      </c>
      <c r="B32" s="1" t="s">
        <v>312</v>
      </c>
    </row>
    <row r="33" spans="1:27" x14ac:dyDescent="0.3">
      <c r="A33" s="1" t="s">
        <v>485</v>
      </c>
      <c r="B33" s="1" t="s">
        <v>484</v>
      </c>
    </row>
    <row r="34" spans="1:27" x14ac:dyDescent="0.3">
      <c r="A34" s="1" t="s">
        <v>36</v>
      </c>
      <c r="B34" s="1" t="s">
        <v>8</v>
      </c>
      <c r="C34" s="1" t="s">
        <v>37</v>
      </c>
      <c r="AA34" s="1" t="str">
        <f t="shared" si="0"/>
        <v/>
      </c>
    </row>
    <row r="35" spans="1:27" x14ac:dyDescent="0.3">
      <c r="A35" s="1" t="s">
        <v>327</v>
      </c>
      <c r="B35" s="1" t="s">
        <v>325</v>
      </c>
    </row>
    <row r="36" spans="1:27" x14ac:dyDescent="0.3">
      <c r="A36" s="1" t="s">
        <v>38</v>
      </c>
      <c r="B36" s="1" t="s">
        <v>8</v>
      </c>
      <c r="C36" s="1" t="s">
        <v>39</v>
      </c>
      <c r="AA36" s="1" t="str">
        <f t="shared" si="0"/>
        <v/>
      </c>
    </row>
    <row r="37" spans="1:27" x14ac:dyDescent="0.3">
      <c r="A37" s="1" t="s">
        <v>333</v>
      </c>
      <c r="B37" s="1" t="s">
        <v>332</v>
      </c>
    </row>
    <row r="38" spans="1:27" x14ac:dyDescent="0.3">
      <c r="A38" s="1" t="s">
        <v>494</v>
      </c>
      <c r="B38" s="1" t="s">
        <v>493</v>
      </c>
    </row>
    <row r="39" spans="1:27" x14ac:dyDescent="0.3">
      <c r="A39" s="1" t="s">
        <v>40</v>
      </c>
      <c r="B39" s="1" t="s">
        <v>8</v>
      </c>
      <c r="C39" s="1" t="s">
        <v>41</v>
      </c>
      <c r="AA39" s="1" t="str">
        <f t="shared" si="0"/>
        <v/>
      </c>
    </row>
    <row r="40" spans="1:27" x14ac:dyDescent="0.3">
      <c r="A40" s="1" t="s">
        <v>339</v>
      </c>
      <c r="B40" s="1" t="s">
        <v>338</v>
      </c>
    </row>
    <row r="41" spans="1:27" x14ac:dyDescent="0.3">
      <c r="A41" s="1" t="s">
        <v>42</v>
      </c>
      <c r="B41" s="1" t="s">
        <v>8</v>
      </c>
      <c r="C41" s="1" t="s">
        <v>43</v>
      </c>
      <c r="AA41" s="1" t="str">
        <f t="shared" si="0"/>
        <v/>
      </c>
    </row>
    <row r="42" spans="1:27" x14ac:dyDescent="0.3">
      <c r="A42" s="1" t="s">
        <v>345</v>
      </c>
      <c r="B42" s="1" t="s">
        <v>344</v>
      </c>
    </row>
    <row r="43" spans="1:27" x14ac:dyDescent="0.3">
      <c r="A43" s="1" t="s">
        <v>504</v>
      </c>
      <c r="B43" s="1" t="s">
        <v>502</v>
      </c>
    </row>
    <row r="44" spans="1:27" x14ac:dyDescent="0.3">
      <c r="A44" s="1" t="s">
        <v>44</v>
      </c>
      <c r="B44" s="1" t="s">
        <v>8</v>
      </c>
      <c r="C44" s="1" t="s">
        <v>45</v>
      </c>
      <c r="AA44" s="1" t="str">
        <f t="shared" si="0"/>
        <v/>
      </c>
    </row>
    <row r="45" spans="1:27" x14ac:dyDescent="0.3">
      <c r="A45" s="1" t="s">
        <v>352</v>
      </c>
      <c r="B45" s="1" t="s">
        <v>351</v>
      </c>
    </row>
    <row r="46" spans="1:27" x14ac:dyDescent="0.3">
      <c r="A46" s="1" t="s">
        <v>46</v>
      </c>
      <c r="B46" s="1" t="s">
        <v>8</v>
      </c>
      <c r="C46" s="1" t="s">
        <v>46</v>
      </c>
      <c r="AA46" s="1" t="str">
        <f t="shared" si="0"/>
        <v/>
      </c>
    </row>
    <row r="47" spans="1:27" x14ac:dyDescent="0.3">
      <c r="A47" s="1" t="s">
        <v>354</v>
      </c>
      <c r="B47" s="1" t="s">
        <v>353</v>
      </c>
    </row>
    <row r="48" spans="1:27" x14ac:dyDescent="0.3">
      <c r="A48" s="1" t="s">
        <v>509</v>
      </c>
      <c r="B48" s="1" t="s">
        <v>503</v>
      </c>
    </row>
    <row r="49" spans="1:27" x14ac:dyDescent="0.3">
      <c r="A49" s="1" t="s">
        <v>47</v>
      </c>
      <c r="B49" s="1" t="s">
        <v>8</v>
      </c>
      <c r="C49" s="1" t="s">
        <v>48</v>
      </c>
      <c r="AA49" s="1" t="str">
        <f t="shared" si="0"/>
        <v/>
      </c>
    </row>
    <row r="50" spans="1:27" x14ac:dyDescent="0.3">
      <c r="A50" s="1" t="s">
        <v>360</v>
      </c>
      <c r="B50" s="1" t="s">
        <v>359</v>
      </c>
    </row>
    <row r="51" spans="1:27" x14ac:dyDescent="0.3">
      <c r="A51" s="1" t="s">
        <v>49</v>
      </c>
      <c r="B51" s="1" t="s">
        <v>8</v>
      </c>
      <c r="C51" s="1" t="s">
        <v>50</v>
      </c>
      <c r="AA51" s="1" t="str">
        <f t="shared" si="0"/>
        <v/>
      </c>
    </row>
    <row r="52" spans="1:27" x14ac:dyDescent="0.3">
      <c r="A52" s="1" t="s">
        <v>366</v>
      </c>
      <c r="B52" s="1" t="s">
        <v>365</v>
      </c>
    </row>
    <row r="53" spans="1:27" x14ac:dyDescent="0.3">
      <c r="A53" s="1" t="s">
        <v>51</v>
      </c>
      <c r="B53" s="1" t="s">
        <v>8</v>
      </c>
      <c r="C53" s="1" t="s">
        <v>52</v>
      </c>
      <c r="AA53" s="1" t="str">
        <f t="shared" si="0"/>
        <v/>
      </c>
    </row>
    <row r="54" spans="1:27" x14ac:dyDescent="0.3">
      <c r="A54" s="1" t="s">
        <v>372</v>
      </c>
      <c r="B54" s="1" t="s">
        <v>371</v>
      </c>
    </row>
    <row r="55" spans="1:27" x14ac:dyDescent="0.3">
      <c r="A55" s="1" t="s">
        <v>53</v>
      </c>
      <c r="B55" s="1" t="s">
        <v>8</v>
      </c>
      <c r="C55" s="1" t="s">
        <v>54</v>
      </c>
      <c r="AA55" s="1" t="str">
        <f t="shared" si="0"/>
        <v/>
      </c>
    </row>
    <row r="56" spans="1:27" x14ac:dyDescent="0.3">
      <c r="A56" s="1" t="s">
        <v>378</v>
      </c>
      <c r="B56" s="1" t="s">
        <v>377</v>
      </c>
      <c r="C56" s="1" t="s">
        <v>384</v>
      </c>
    </row>
    <row r="57" spans="1:27" x14ac:dyDescent="0.3">
      <c r="A57" s="1" t="s">
        <v>55</v>
      </c>
      <c r="B57" s="1" t="s">
        <v>8</v>
      </c>
      <c r="C57" s="1" t="s">
        <v>56</v>
      </c>
      <c r="AA57" s="1" t="str">
        <f t="shared" si="0"/>
        <v/>
      </c>
    </row>
    <row r="58" spans="1:27" x14ac:dyDescent="0.3">
      <c r="A58" s="1" t="s">
        <v>389</v>
      </c>
      <c r="B58" s="1" t="s">
        <v>388</v>
      </c>
    </row>
    <row r="59" spans="1:27" x14ac:dyDescent="0.3">
      <c r="A59" s="1" t="s">
        <v>57</v>
      </c>
      <c r="B59" s="1" t="s">
        <v>8</v>
      </c>
      <c r="C59" s="1" t="s">
        <v>58</v>
      </c>
      <c r="AA59" s="1" t="str">
        <f t="shared" si="0"/>
        <v/>
      </c>
    </row>
    <row r="60" spans="1:27" x14ac:dyDescent="0.3">
      <c r="A60" s="1" t="s">
        <v>395</v>
      </c>
      <c r="B60" s="1" t="s">
        <v>394</v>
      </c>
    </row>
    <row r="61" spans="1:27" x14ac:dyDescent="0.3">
      <c r="A61" s="1" t="s">
        <v>59</v>
      </c>
      <c r="B61" s="1" t="s">
        <v>8</v>
      </c>
      <c r="C61" s="1" t="s">
        <v>60</v>
      </c>
      <c r="AA61" s="1" t="str">
        <f t="shared" si="0"/>
        <v/>
      </c>
    </row>
    <row r="62" spans="1:27" x14ac:dyDescent="0.3">
      <c r="A62" s="1" t="s">
        <v>401</v>
      </c>
      <c r="B62" s="1" t="s">
        <v>400</v>
      </c>
    </row>
    <row r="63" spans="1:27" x14ac:dyDescent="0.3">
      <c r="A63" s="1" t="s">
        <v>61</v>
      </c>
      <c r="B63" s="1" t="s">
        <v>8</v>
      </c>
      <c r="C63" s="1" t="s">
        <v>62</v>
      </c>
      <c r="AA63" s="1" t="str">
        <f t="shared" si="0"/>
        <v/>
      </c>
    </row>
    <row r="64" spans="1:27" x14ac:dyDescent="0.3">
      <c r="A64" s="1" t="s">
        <v>407</v>
      </c>
      <c r="B64" s="1" t="s">
        <v>406</v>
      </c>
    </row>
    <row r="65" spans="1:27" x14ac:dyDescent="0.3">
      <c r="A65" s="1" t="s">
        <v>63</v>
      </c>
      <c r="B65" s="1" t="s">
        <v>8</v>
      </c>
      <c r="C65" s="1" t="s">
        <v>64</v>
      </c>
      <c r="AA65" s="1" t="str">
        <f t="shared" si="0"/>
        <v/>
      </c>
    </row>
    <row r="66" spans="1:27" x14ac:dyDescent="0.3">
      <c r="A66" s="1" t="s">
        <v>413</v>
      </c>
      <c r="B66" s="1" t="s">
        <v>412</v>
      </c>
    </row>
    <row r="67" spans="1:27" x14ac:dyDescent="0.3">
      <c r="A67" s="1" t="s">
        <v>65</v>
      </c>
      <c r="B67" s="1" t="s">
        <v>8</v>
      </c>
      <c r="C67" s="1" t="s">
        <v>65</v>
      </c>
      <c r="AA67" s="1" t="str">
        <f t="shared" si="0"/>
        <v/>
      </c>
    </row>
    <row r="68" spans="1:27" x14ac:dyDescent="0.3">
      <c r="A68" s="1" t="s">
        <v>415</v>
      </c>
      <c r="B68" s="1" t="s">
        <v>414</v>
      </c>
    </row>
    <row r="69" spans="1:27" x14ac:dyDescent="0.3">
      <c r="A69" s="1" t="s">
        <v>66</v>
      </c>
      <c r="B69" s="1" t="s">
        <v>8</v>
      </c>
      <c r="C69" s="1" t="s">
        <v>67</v>
      </c>
      <c r="AA69" s="1" t="str">
        <f t="shared" si="0"/>
        <v/>
      </c>
    </row>
    <row r="70" spans="1:27" x14ac:dyDescent="0.3">
      <c r="A70" s="1" t="s">
        <v>68</v>
      </c>
      <c r="B70" s="1" t="s">
        <v>8</v>
      </c>
      <c r="C70" s="1" t="s">
        <v>68</v>
      </c>
      <c r="AA70" s="1" t="str">
        <f t="shared" si="0"/>
        <v/>
      </c>
    </row>
    <row r="71" spans="1:27" x14ac:dyDescent="0.3">
      <c r="A71" s="1" t="s">
        <v>421</v>
      </c>
      <c r="B71" s="1" t="s">
        <v>420</v>
      </c>
    </row>
    <row r="72" spans="1:27" x14ac:dyDescent="0.3">
      <c r="A72" s="1" t="s">
        <v>69</v>
      </c>
      <c r="B72" s="1" t="s">
        <v>8</v>
      </c>
      <c r="C72" s="1" t="s">
        <v>70</v>
      </c>
      <c r="AA72" s="1" t="str">
        <f t="shared" si="0"/>
        <v/>
      </c>
    </row>
    <row r="73" spans="1:27" x14ac:dyDescent="0.3">
      <c r="A73" s="1" t="s">
        <v>427</v>
      </c>
      <c r="B73" s="1" t="s">
        <v>426</v>
      </c>
    </row>
    <row r="74" spans="1:27" x14ac:dyDescent="0.3">
      <c r="A74" s="1" t="s">
        <v>71</v>
      </c>
      <c r="B74" s="1" t="s">
        <v>8</v>
      </c>
      <c r="C74" s="1" t="s">
        <v>72</v>
      </c>
      <c r="AA74" s="1" t="str">
        <f t="shared" si="0"/>
        <v/>
      </c>
    </row>
    <row r="75" spans="1:27" x14ac:dyDescent="0.3">
      <c r="A75" s="1" t="s">
        <v>437</v>
      </c>
      <c r="B75" s="1" t="s">
        <v>436</v>
      </c>
    </row>
    <row r="76" spans="1:27" x14ac:dyDescent="0.3">
      <c r="A76" s="1" t="s">
        <v>7</v>
      </c>
      <c r="B76" s="1" t="s">
        <v>8</v>
      </c>
      <c r="C76" s="1" t="s">
        <v>9</v>
      </c>
      <c r="AA76" s="1" t="str">
        <f t="shared" si="0"/>
        <v/>
      </c>
    </row>
    <row r="77" spans="1:27" x14ac:dyDescent="0.3">
      <c r="A77" s="1" t="s">
        <v>443</v>
      </c>
      <c r="B77" s="1" t="s">
        <v>442</v>
      </c>
    </row>
    <row r="78" spans="1:27" x14ac:dyDescent="0.3">
      <c r="A78" s="1" t="s">
        <v>73</v>
      </c>
      <c r="B78" s="1" t="s">
        <v>8</v>
      </c>
      <c r="C78" s="1" t="s">
        <v>74</v>
      </c>
      <c r="AA78" s="1" t="str">
        <f t="shared" si="0"/>
        <v/>
      </c>
    </row>
    <row r="79" spans="1:27" x14ac:dyDescent="0.3">
      <c r="A79" s="1" t="s">
        <v>448</v>
      </c>
      <c r="B79" s="1" t="s">
        <v>447</v>
      </c>
    </row>
    <row r="80" spans="1:27" x14ac:dyDescent="0.3">
      <c r="A80" s="1" t="s">
        <v>75</v>
      </c>
      <c r="B80" s="1" t="s">
        <v>8</v>
      </c>
      <c r="C80" s="1" t="s">
        <v>76</v>
      </c>
      <c r="AA80" s="1" t="str">
        <f t="shared" si="0"/>
        <v/>
      </c>
    </row>
    <row r="81" spans="1:36" ht="57.6" x14ac:dyDescent="0.3">
      <c r="A81" s="1" t="s">
        <v>77</v>
      </c>
      <c r="B81" s="1" t="s">
        <v>8</v>
      </c>
      <c r="C81" s="1" t="s">
        <v>11</v>
      </c>
      <c r="D81" s="1" t="s">
        <v>320</v>
      </c>
      <c r="E81" s="1" t="s">
        <v>519</v>
      </c>
      <c r="F81" s="1">
        <v>710</v>
      </c>
      <c r="G81" s="1">
        <f>F81-H81</f>
        <v>697.57500000000005</v>
      </c>
      <c r="H81" s="1">
        <f>0.0175*F81</f>
        <v>12.425000000000001</v>
      </c>
      <c r="I81" s="1">
        <v>631</v>
      </c>
      <c r="J81" s="1">
        <v>2528</v>
      </c>
      <c r="K81" s="1">
        <f>(710+950)/2</f>
        <v>830</v>
      </c>
      <c r="L81" s="2" t="s">
        <v>527</v>
      </c>
      <c r="M81" s="2" t="s">
        <v>528</v>
      </c>
      <c r="N81" s="1" t="s">
        <v>533</v>
      </c>
      <c r="O81" s="1" t="s">
        <v>538</v>
      </c>
      <c r="AA81" s="1" t="str">
        <f t="shared" si="0"/>
        <v/>
      </c>
      <c r="AJ81" s="2" t="s">
        <v>531</v>
      </c>
    </row>
    <row r="82" spans="1:36" x14ac:dyDescent="0.3">
      <c r="A82" s="1" t="s">
        <v>209</v>
      </c>
      <c r="B82" s="1" t="s">
        <v>208</v>
      </c>
      <c r="C82" s="1" t="s">
        <v>311</v>
      </c>
      <c r="AA82" s="1" t="str">
        <f t="shared" si="0"/>
        <v/>
      </c>
    </row>
    <row r="83" spans="1:36" x14ac:dyDescent="0.3">
      <c r="A83" s="1" t="s">
        <v>78</v>
      </c>
      <c r="B83" s="1" t="s">
        <v>8</v>
      </c>
      <c r="C83" s="1" t="s">
        <v>13</v>
      </c>
      <c r="AA83" s="1" t="str">
        <f t="shared" si="0"/>
        <v/>
      </c>
    </row>
    <row r="84" spans="1:36" x14ac:dyDescent="0.3">
      <c r="A84" s="1" t="s">
        <v>215</v>
      </c>
      <c r="B84" s="1" t="s">
        <v>213</v>
      </c>
      <c r="C84" s="1" t="s">
        <v>217</v>
      </c>
      <c r="AA84" s="1" t="str">
        <f t="shared" si="0"/>
        <v/>
      </c>
    </row>
    <row r="85" spans="1:36" x14ac:dyDescent="0.3">
      <c r="A85" s="1" t="s">
        <v>452</v>
      </c>
      <c r="B85" s="1" t="s">
        <v>449</v>
      </c>
      <c r="C85" s="1" t="s">
        <v>453</v>
      </c>
    </row>
    <row r="86" spans="1:36" x14ac:dyDescent="0.3">
      <c r="A86" s="1" t="s">
        <v>79</v>
      </c>
      <c r="B86" s="1" t="s">
        <v>8</v>
      </c>
      <c r="C86" s="1" t="s">
        <v>15</v>
      </c>
      <c r="AA86" s="1" t="str">
        <f t="shared" si="0"/>
        <v/>
      </c>
    </row>
    <row r="87" spans="1:36" x14ac:dyDescent="0.3">
      <c r="A87" s="1" t="s">
        <v>230</v>
      </c>
      <c r="B87" s="1" t="s">
        <v>228</v>
      </c>
      <c r="AA87" s="1" t="str">
        <f t="shared" si="0"/>
        <v/>
      </c>
    </row>
    <row r="88" spans="1:36" x14ac:dyDescent="0.3">
      <c r="A88" s="1" t="s">
        <v>80</v>
      </c>
      <c r="B88" s="1" t="s">
        <v>8</v>
      </c>
      <c r="C88" s="1" t="s">
        <v>17</v>
      </c>
      <c r="AA88" s="1" t="str">
        <f t="shared" si="0"/>
        <v/>
      </c>
    </row>
    <row r="89" spans="1:36" x14ac:dyDescent="0.3">
      <c r="A89" s="1" t="s">
        <v>236</v>
      </c>
      <c r="B89" s="1" t="s">
        <v>234</v>
      </c>
      <c r="O89" s="1" t="s">
        <v>547</v>
      </c>
      <c r="AA89" s="1" t="str">
        <f t="shared" si="0"/>
        <v/>
      </c>
    </row>
    <row r="90" spans="1:36" x14ac:dyDescent="0.3">
      <c r="A90" s="1" t="s">
        <v>81</v>
      </c>
      <c r="B90" s="1" t="s">
        <v>8</v>
      </c>
      <c r="C90" s="1" t="s">
        <v>19</v>
      </c>
      <c r="AA90" s="1" t="str">
        <f t="shared" si="0"/>
        <v/>
      </c>
    </row>
    <row r="91" spans="1:36" x14ac:dyDescent="0.3">
      <c r="A91" s="1" t="s">
        <v>242</v>
      </c>
      <c r="B91" s="1" t="s">
        <v>240</v>
      </c>
      <c r="AA91" s="1" t="str">
        <f t="shared" si="0"/>
        <v/>
      </c>
    </row>
    <row r="92" spans="1:36" x14ac:dyDescent="0.3">
      <c r="A92" s="1" t="s">
        <v>460</v>
      </c>
      <c r="B92" s="1" t="s">
        <v>458</v>
      </c>
    </row>
    <row r="93" spans="1:36" x14ac:dyDescent="0.3">
      <c r="A93" s="1" t="s">
        <v>82</v>
      </c>
      <c r="B93" s="1" t="s">
        <v>8</v>
      </c>
      <c r="C93" s="1" t="s">
        <v>21</v>
      </c>
      <c r="O93" s="1" t="s">
        <v>545</v>
      </c>
      <c r="AA93" s="1" t="str">
        <f t="shared" si="0"/>
        <v/>
      </c>
    </row>
    <row r="94" spans="1:36" x14ac:dyDescent="0.3">
      <c r="A94" s="1" t="s">
        <v>249</v>
      </c>
      <c r="B94" s="1" t="s">
        <v>247</v>
      </c>
      <c r="AA94" s="1" t="str">
        <f t="shared" si="0"/>
        <v/>
      </c>
      <c r="AJ94" s="1" t="s">
        <v>250</v>
      </c>
    </row>
    <row r="95" spans="1:36" x14ac:dyDescent="0.3">
      <c r="A95" s="1" t="s">
        <v>83</v>
      </c>
      <c r="B95" s="1" t="s">
        <v>8</v>
      </c>
      <c r="C95" s="1" t="s">
        <v>23</v>
      </c>
      <c r="AA95" s="1" t="str">
        <f t="shared" si="0"/>
        <v/>
      </c>
    </row>
    <row r="96" spans="1:36" x14ac:dyDescent="0.3">
      <c r="A96" s="1" t="s">
        <v>257</v>
      </c>
      <c r="B96" s="1" t="s">
        <v>255</v>
      </c>
      <c r="AA96" s="1" t="str">
        <f t="shared" si="0"/>
        <v/>
      </c>
    </row>
    <row r="97" spans="1:27" x14ac:dyDescent="0.3">
      <c r="A97" s="1" t="s">
        <v>468</v>
      </c>
      <c r="B97" s="1" t="s">
        <v>466</v>
      </c>
    </row>
    <row r="98" spans="1:27" x14ac:dyDescent="0.3">
      <c r="A98" s="1" t="s">
        <v>84</v>
      </c>
      <c r="B98" s="1" t="s">
        <v>8</v>
      </c>
      <c r="C98" s="1" t="s">
        <v>25</v>
      </c>
      <c r="AA98" s="1" t="str">
        <f t="shared" si="0"/>
        <v/>
      </c>
    </row>
    <row r="99" spans="1:27" x14ac:dyDescent="0.3">
      <c r="A99" s="1" t="s">
        <v>264</v>
      </c>
      <c r="B99" s="1" t="s">
        <v>262</v>
      </c>
      <c r="C99" s="1" t="s">
        <v>265</v>
      </c>
      <c r="AA99" s="1" t="str">
        <f t="shared" si="0"/>
        <v/>
      </c>
    </row>
    <row r="100" spans="1:27" x14ac:dyDescent="0.3">
      <c r="A100" s="1" t="s">
        <v>85</v>
      </c>
      <c r="B100" s="1" t="s">
        <v>8</v>
      </c>
      <c r="C100" s="1" t="s">
        <v>27</v>
      </c>
      <c r="AA100" s="1" t="str">
        <f t="shared" si="0"/>
        <v/>
      </c>
    </row>
    <row r="101" spans="1:27" x14ac:dyDescent="0.3">
      <c r="A101" s="1" t="s">
        <v>281</v>
      </c>
      <c r="B101" s="1" t="s">
        <v>278</v>
      </c>
      <c r="C101" s="1" t="s">
        <v>282</v>
      </c>
    </row>
    <row r="102" spans="1:27" x14ac:dyDescent="0.3">
      <c r="A102" s="1" t="s">
        <v>474</v>
      </c>
      <c r="B102" s="1" t="s">
        <v>472</v>
      </c>
    </row>
    <row r="103" spans="1:27" x14ac:dyDescent="0.3">
      <c r="A103" s="1" t="s">
        <v>86</v>
      </c>
      <c r="B103" s="1" t="s">
        <v>8</v>
      </c>
      <c r="C103" s="1" t="s">
        <v>29</v>
      </c>
      <c r="AA103" s="1" t="str">
        <f t="shared" si="0"/>
        <v/>
      </c>
    </row>
    <row r="104" spans="1:27" x14ac:dyDescent="0.3">
      <c r="A104" s="1" t="s">
        <v>293</v>
      </c>
      <c r="B104" s="1" t="s">
        <v>288</v>
      </c>
    </row>
    <row r="105" spans="1:27" x14ac:dyDescent="0.3">
      <c r="A105" s="1" t="s">
        <v>87</v>
      </c>
      <c r="B105" s="1" t="s">
        <v>8</v>
      </c>
      <c r="C105" s="1" t="s">
        <v>31</v>
      </c>
      <c r="AA105" s="1" t="str">
        <f t="shared" si="0"/>
        <v/>
      </c>
    </row>
    <row r="106" spans="1:27" x14ac:dyDescent="0.3">
      <c r="A106" s="1" t="s">
        <v>301</v>
      </c>
      <c r="B106" s="1" t="s">
        <v>299</v>
      </c>
    </row>
    <row r="107" spans="1:27" x14ac:dyDescent="0.3">
      <c r="A107" s="1" t="s">
        <v>480</v>
      </c>
      <c r="B107" s="1" t="s">
        <v>478</v>
      </c>
    </row>
    <row r="108" spans="1:27" x14ac:dyDescent="0.3">
      <c r="A108" s="1" t="s">
        <v>88</v>
      </c>
      <c r="B108" s="1" t="s">
        <v>8</v>
      </c>
      <c r="C108" s="1" t="s">
        <v>33</v>
      </c>
      <c r="AA108" s="1" t="str">
        <f t="shared" si="0"/>
        <v/>
      </c>
    </row>
    <row r="109" spans="1:27" x14ac:dyDescent="0.3">
      <c r="A109" s="1" t="s">
        <v>307</v>
      </c>
      <c r="B109" s="1" t="s">
        <v>305</v>
      </c>
      <c r="C109" s="1" t="s">
        <v>311</v>
      </c>
    </row>
    <row r="110" spans="1:27" x14ac:dyDescent="0.3">
      <c r="A110" s="1" t="s">
        <v>89</v>
      </c>
      <c r="B110" s="1" t="s">
        <v>8</v>
      </c>
      <c r="C110" s="1" t="s">
        <v>35</v>
      </c>
      <c r="AA110" s="1" t="str">
        <f t="shared" ref="AA110:AA229" si="1">IF(OR(Y110="", Z110=""), "", Y110+Z110)</f>
        <v/>
      </c>
    </row>
    <row r="111" spans="1:27" x14ac:dyDescent="0.3">
      <c r="A111" s="1" t="s">
        <v>314</v>
      </c>
      <c r="B111" s="1" t="s">
        <v>312</v>
      </c>
    </row>
    <row r="112" spans="1:27" x14ac:dyDescent="0.3">
      <c r="A112" s="1" t="s">
        <v>486</v>
      </c>
      <c r="B112" s="1" t="s">
        <v>484</v>
      </c>
    </row>
    <row r="113" spans="1:27" x14ac:dyDescent="0.3">
      <c r="A113" s="1" t="s">
        <v>90</v>
      </c>
      <c r="B113" s="1" t="s">
        <v>8</v>
      </c>
      <c r="C113" s="1" t="s">
        <v>37</v>
      </c>
      <c r="AA113" s="1" t="str">
        <f t="shared" si="1"/>
        <v/>
      </c>
    </row>
    <row r="114" spans="1:27" x14ac:dyDescent="0.3">
      <c r="A114" s="1" t="s">
        <v>328</v>
      </c>
      <c r="B114" s="1" t="s">
        <v>325</v>
      </c>
    </row>
    <row r="115" spans="1:27" x14ac:dyDescent="0.3">
      <c r="A115" s="1" t="s">
        <v>91</v>
      </c>
      <c r="B115" s="1" t="s">
        <v>8</v>
      </c>
      <c r="C115" s="1" t="s">
        <v>39</v>
      </c>
      <c r="AA115" s="1" t="str">
        <f t="shared" si="1"/>
        <v/>
      </c>
    </row>
    <row r="116" spans="1:27" x14ac:dyDescent="0.3">
      <c r="A116" s="1" t="s">
        <v>334</v>
      </c>
      <c r="B116" s="1" t="s">
        <v>332</v>
      </c>
    </row>
    <row r="117" spans="1:27" x14ac:dyDescent="0.3">
      <c r="A117" s="1" t="s">
        <v>495</v>
      </c>
      <c r="B117" s="1" t="s">
        <v>493</v>
      </c>
    </row>
    <row r="118" spans="1:27" x14ac:dyDescent="0.3">
      <c r="A118" s="1" t="s">
        <v>92</v>
      </c>
      <c r="B118" s="1" t="s">
        <v>8</v>
      </c>
      <c r="C118" s="1" t="s">
        <v>41</v>
      </c>
      <c r="AA118" s="1" t="str">
        <f t="shared" si="1"/>
        <v/>
      </c>
    </row>
    <row r="119" spans="1:27" x14ac:dyDescent="0.3">
      <c r="A119" s="1" t="s">
        <v>340</v>
      </c>
      <c r="B119" s="1" t="s">
        <v>338</v>
      </c>
    </row>
    <row r="120" spans="1:27" x14ac:dyDescent="0.3">
      <c r="A120" s="1" t="s">
        <v>93</v>
      </c>
      <c r="B120" s="1" t="s">
        <v>8</v>
      </c>
      <c r="C120" s="1" t="s">
        <v>43</v>
      </c>
      <c r="AA120" s="1" t="str">
        <f t="shared" si="1"/>
        <v/>
      </c>
    </row>
    <row r="121" spans="1:27" x14ac:dyDescent="0.3">
      <c r="A121" s="1" t="s">
        <v>346</v>
      </c>
      <c r="B121" s="1" t="s">
        <v>344</v>
      </c>
    </row>
    <row r="122" spans="1:27" x14ac:dyDescent="0.3">
      <c r="A122" s="1" t="s">
        <v>505</v>
      </c>
      <c r="B122" s="1" t="s">
        <v>502</v>
      </c>
    </row>
    <row r="123" spans="1:27" x14ac:dyDescent="0.3">
      <c r="A123" s="1" t="s">
        <v>94</v>
      </c>
      <c r="B123" s="1" t="s">
        <v>8</v>
      </c>
      <c r="C123" s="1" t="s">
        <v>45</v>
      </c>
      <c r="AA123" s="1" t="str">
        <f t="shared" si="1"/>
        <v/>
      </c>
    </row>
    <row r="124" spans="1:27" x14ac:dyDescent="0.3">
      <c r="A124" s="1" t="s">
        <v>355</v>
      </c>
      <c r="B124" s="1" t="s">
        <v>353</v>
      </c>
    </row>
    <row r="125" spans="1:27" x14ac:dyDescent="0.3">
      <c r="A125" s="1" t="s">
        <v>510</v>
      </c>
      <c r="B125" s="1" t="s">
        <v>503</v>
      </c>
    </row>
    <row r="126" spans="1:27" x14ac:dyDescent="0.3">
      <c r="A126" s="1" t="s">
        <v>95</v>
      </c>
      <c r="B126" s="1" t="s">
        <v>8</v>
      </c>
      <c r="C126" s="1" t="s">
        <v>48</v>
      </c>
      <c r="AA126" s="1" t="str">
        <f t="shared" si="1"/>
        <v/>
      </c>
    </row>
    <row r="127" spans="1:27" x14ac:dyDescent="0.3">
      <c r="A127" s="1" t="s">
        <v>361</v>
      </c>
      <c r="B127" s="1" t="s">
        <v>359</v>
      </c>
    </row>
    <row r="128" spans="1:27" x14ac:dyDescent="0.3">
      <c r="A128" s="1" t="s">
        <v>96</v>
      </c>
      <c r="B128" s="1" t="s">
        <v>8</v>
      </c>
      <c r="C128" s="1" t="s">
        <v>50</v>
      </c>
      <c r="AA128" s="1" t="str">
        <f t="shared" si="1"/>
        <v/>
      </c>
    </row>
    <row r="129" spans="1:27" x14ac:dyDescent="0.3">
      <c r="A129" s="1" t="s">
        <v>367</v>
      </c>
      <c r="B129" s="1" t="s">
        <v>365</v>
      </c>
    </row>
    <row r="130" spans="1:27" x14ac:dyDescent="0.3">
      <c r="A130" s="1" t="s">
        <v>97</v>
      </c>
      <c r="B130" s="1" t="s">
        <v>8</v>
      </c>
      <c r="C130" s="1" t="s">
        <v>52</v>
      </c>
      <c r="AA130" s="1" t="str">
        <f t="shared" si="1"/>
        <v/>
      </c>
    </row>
    <row r="131" spans="1:27" x14ac:dyDescent="0.3">
      <c r="A131" s="1" t="s">
        <v>373</v>
      </c>
      <c r="B131" s="1" t="s">
        <v>371</v>
      </c>
    </row>
    <row r="132" spans="1:27" x14ac:dyDescent="0.3">
      <c r="A132" s="1" t="s">
        <v>98</v>
      </c>
      <c r="B132" s="1" t="s">
        <v>8</v>
      </c>
      <c r="C132" s="1" t="s">
        <v>54</v>
      </c>
      <c r="AA132" s="1" t="str">
        <f t="shared" si="1"/>
        <v/>
      </c>
    </row>
    <row r="133" spans="1:27" x14ac:dyDescent="0.3">
      <c r="A133" s="1" t="s">
        <v>379</v>
      </c>
      <c r="B133" s="1" t="s">
        <v>377</v>
      </c>
      <c r="C133" s="1" t="s">
        <v>385</v>
      </c>
    </row>
    <row r="134" spans="1:27" x14ac:dyDescent="0.3">
      <c r="A134" s="1" t="s">
        <v>99</v>
      </c>
      <c r="B134" s="1" t="s">
        <v>8</v>
      </c>
      <c r="C134" s="1" t="s">
        <v>56</v>
      </c>
      <c r="AA134" s="1" t="str">
        <f t="shared" si="1"/>
        <v/>
      </c>
    </row>
    <row r="135" spans="1:27" x14ac:dyDescent="0.3">
      <c r="A135" s="1" t="s">
        <v>390</v>
      </c>
      <c r="B135" s="1" t="s">
        <v>388</v>
      </c>
    </row>
    <row r="136" spans="1:27" x14ac:dyDescent="0.3">
      <c r="A136" s="1" t="s">
        <v>100</v>
      </c>
      <c r="B136" s="1" t="s">
        <v>8</v>
      </c>
      <c r="C136" s="1" t="s">
        <v>58</v>
      </c>
      <c r="AA136" s="1" t="str">
        <f t="shared" si="1"/>
        <v/>
      </c>
    </row>
    <row r="137" spans="1:27" x14ac:dyDescent="0.3">
      <c r="A137" s="1" t="s">
        <v>396</v>
      </c>
      <c r="B137" s="1" t="s">
        <v>394</v>
      </c>
    </row>
    <row r="138" spans="1:27" x14ac:dyDescent="0.3">
      <c r="A138" s="1" t="s">
        <v>101</v>
      </c>
      <c r="B138" s="1" t="s">
        <v>8</v>
      </c>
      <c r="C138" s="1" t="s">
        <v>60</v>
      </c>
      <c r="AA138" s="1" t="str">
        <f t="shared" si="1"/>
        <v/>
      </c>
    </row>
    <row r="139" spans="1:27" x14ac:dyDescent="0.3">
      <c r="A139" s="1" t="s">
        <v>402</v>
      </c>
      <c r="B139" s="1" t="s">
        <v>400</v>
      </c>
    </row>
    <row r="140" spans="1:27" x14ac:dyDescent="0.3">
      <c r="A140" s="1" t="s">
        <v>102</v>
      </c>
      <c r="B140" s="1" t="s">
        <v>8</v>
      </c>
      <c r="C140" s="1" t="s">
        <v>62</v>
      </c>
      <c r="AA140" s="1" t="str">
        <f t="shared" si="1"/>
        <v/>
      </c>
    </row>
    <row r="141" spans="1:27" x14ac:dyDescent="0.3">
      <c r="A141" s="1" t="s">
        <v>408</v>
      </c>
      <c r="B141" s="1" t="s">
        <v>406</v>
      </c>
    </row>
    <row r="142" spans="1:27" x14ac:dyDescent="0.3">
      <c r="A142" s="1" t="s">
        <v>103</v>
      </c>
      <c r="B142" s="1" t="s">
        <v>8</v>
      </c>
      <c r="C142" s="1" t="s">
        <v>64</v>
      </c>
      <c r="AA142" s="1" t="str">
        <f t="shared" si="1"/>
        <v/>
      </c>
    </row>
    <row r="143" spans="1:27" x14ac:dyDescent="0.3">
      <c r="A143" s="1" t="s">
        <v>416</v>
      </c>
      <c r="B143" s="1" t="s">
        <v>414</v>
      </c>
    </row>
    <row r="144" spans="1:27" x14ac:dyDescent="0.3">
      <c r="A144" s="1" t="s">
        <v>104</v>
      </c>
      <c r="B144" s="1" t="s">
        <v>8</v>
      </c>
      <c r="C144" s="1" t="s">
        <v>67</v>
      </c>
      <c r="AA144" s="1" t="str">
        <f t="shared" si="1"/>
        <v/>
      </c>
    </row>
    <row r="145" spans="1:27" x14ac:dyDescent="0.3">
      <c r="A145" s="1" t="s">
        <v>422</v>
      </c>
      <c r="B145" s="1" t="s">
        <v>420</v>
      </c>
    </row>
    <row r="146" spans="1:27" x14ac:dyDescent="0.3">
      <c r="A146" s="1" t="s">
        <v>105</v>
      </c>
      <c r="B146" s="1" t="s">
        <v>8</v>
      </c>
      <c r="C146" s="1" t="s">
        <v>70</v>
      </c>
      <c r="AA146" s="1" t="str">
        <f t="shared" si="1"/>
        <v/>
      </c>
    </row>
    <row r="147" spans="1:27" x14ac:dyDescent="0.3">
      <c r="A147" s="1" t="s">
        <v>428</v>
      </c>
      <c r="B147" s="1" t="s">
        <v>426</v>
      </c>
    </row>
    <row r="148" spans="1:27" x14ac:dyDescent="0.3">
      <c r="A148" s="1" t="s">
        <v>106</v>
      </c>
      <c r="B148" s="1" t="s">
        <v>8</v>
      </c>
      <c r="C148" s="1" t="s">
        <v>72</v>
      </c>
      <c r="AA148" s="1" t="str">
        <f t="shared" si="1"/>
        <v/>
      </c>
    </row>
    <row r="149" spans="1:27" x14ac:dyDescent="0.3">
      <c r="A149" s="1" t="s">
        <v>438</v>
      </c>
      <c r="B149" s="1" t="s">
        <v>436</v>
      </c>
    </row>
    <row r="150" spans="1:27" x14ac:dyDescent="0.3">
      <c r="A150" s="1" t="s">
        <v>107</v>
      </c>
      <c r="B150" s="1" t="s">
        <v>8</v>
      </c>
      <c r="C150" s="1" t="s">
        <v>9</v>
      </c>
      <c r="AA150" s="1" t="str">
        <f t="shared" si="1"/>
        <v/>
      </c>
    </row>
    <row r="151" spans="1:27" x14ac:dyDescent="0.3">
      <c r="A151" s="1" t="s">
        <v>444</v>
      </c>
      <c r="B151" s="1" t="s">
        <v>442</v>
      </c>
    </row>
    <row r="152" spans="1:27" x14ac:dyDescent="0.3">
      <c r="A152" s="1" t="s">
        <v>108</v>
      </c>
      <c r="B152" s="1" t="s">
        <v>8</v>
      </c>
      <c r="C152" s="1" t="s">
        <v>74</v>
      </c>
      <c r="AA152" s="1" t="str">
        <f t="shared" si="1"/>
        <v/>
      </c>
    </row>
    <row r="153" spans="1:27" x14ac:dyDescent="0.3">
      <c r="A153" s="1" t="s">
        <v>109</v>
      </c>
      <c r="B153" s="1" t="s">
        <v>8</v>
      </c>
      <c r="C153" s="1" t="s">
        <v>11</v>
      </c>
      <c r="D153" s="1" t="s">
        <v>320</v>
      </c>
      <c r="E153" s="1" t="s">
        <v>320</v>
      </c>
      <c r="F153" s="1">
        <v>522</v>
      </c>
      <c r="G153" s="1">
        <f>F153-H153</f>
        <v>516.78</v>
      </c>
      <c r="H153" s="1">
        <f>0.01*F153</f>
        <v>5.22</v>
      </c>
      <c r="I153" s="1">
        <v>215</v>
      </c>
      <c r="J153" s="1">
        <v>1034</v>
      </c>
      <c r="K153" s="1">
        <v>330</v>
      </c>
      <c r="L153" s="1" t="s">
        <v>525</v>
      </c>
      <c r="M153" s="1" t="s">
        <v>525</v>
      </c>
      <c r="N153" s="1" t="s">
        <v>534</v>
      </c>
      <c r="AA153" s="1" t="str">
        <f t="shared" si="1"/>
        <v/>
      </c>
    </row>
    <row r="154" spans="1:27" x14ac:dyDescent="0.3">
      <c r="A154" s="1" t="s">
        <v>210</v>
      </c>
      <c r="B154" s="1" t="s">
        <v>208</v>
      </c>
      <c r="C154" s="1" t="s">
        <v>311</v>
      </c>
      <c r="AA154" s="1" t="str">
        <f t="shared" si="1"/>
        <v/>
      </c>
    </row>
    <row r="155" spans="1:27" x14ac:dyDescent="0.3">
      <c r="A155" s="1" t="s">
        <v>110</v>
      </c>
      <c r="B155" s="1" t="s">
        <v>8</v>
      </c>
      <c r="C155" s="1" t="s">
        <v>13</v>
      </c>
      <c r="AA155" s="1" t="str">
        <f t="shared" si="1"/>
        <v/>
      </c>
    </row>
    <row r="156" spans="1:27" x14ac:dyDescent="0.3">
      <c r="A156" s="1" t="s">
        <v>218</v>
      </c>
      <c r="B156" s="1" t="s">
        <v>213</v>
      </c>
      <c r="C156" s="1" t="s">
        <v>219</v>
      </c>
      <c r="AA156" s="1" t="str">
        <f t="shared" si="1"/>
        <v/>
      </c>
    </row>
    <row r="157" spans="1:27" x14ac:dyDescent="0.3">
      <c r="A157" s="1" t="s">
        <v>454</v>
      </c>
      <c r="B157" s="1" t="s">
        <v>449</v>
      </c>
      <c r="C157" s="1" t="s">
        <v>455</v>
      </c>
    </row>
    <row r="158" spans="1:27" x14ac:dyDescent="0.3">
      <c r="A158" s="1" t="s">
        <v>111</v>
      </c>
      <c r="B158" s="1" t="s">
        <v>8</v>
      </c>
      <c r="C158" s="1" t="s">
        <v>15</v>
      </c>
      <c r="AA158" s="1" t="str">
        <f t="shared" si="1"/>
        <v/>
      </c>
    </row>
    <row r="159" spans="1:27" x14ac:dyDescent="0.3">
      <c r="A159" s="1" t="s">
        <v>231</v>
      </c>
      <c r="B159" s="1" t="s">
        <v>228</v>
      </c>
      <c r="AA159" s="1" t="str">
        <f t="shared" si="1"/>
        <v/>
      </c>
    </row>
    <row r="160" spans="1:27" x14ac:dyDescent="0.3">
      <c r="A160" s="1" t="s">
        <v>112</v>
      </c>
      <c r="B160" s="1" t="s">
        <v>8</v>
      </c>
      <c r="C160" s="1" t="s">
        <v>17</v>
      </c>
      <c r="AA160" s="1" t="str">
        <f t="shared" si="1"/>
        <v/>
      </c>
    </row>
    <row r="161" spans="1:27" x14ac:dyDescent="0.3">
      <c r="A161" s="1" t="s">
        <v>237</v>
      </c>
      <c r="B161" s="1" t="s">
        <v>234</v>
      </c>
      <c r="AA161" s="1" t="str">
        <f t="shared" si="1"/>
        <v/>
      </c>
    </row>
    <row r="162" spans="1:27" x14ac:dyDescent="0.3">
      <c r="A162" s="1" t="s">
        <v>113</v>
      </c>
      <c r="B162" s="1" t="s">
        <v>8</v>
      </c>
      <c r="C162" s="1" t="s">
        <v>19</v>
      </c>
      <c r="AA162" s="1" t="str">
        <f t="shared" si="1"/>
        <v/>
      </c>
    </row>
    <row r="163" spans="1:27" x14ac:dyDescent="0.3">
      <c r="A163" s="1" t="s">
        <v>243</v>
      </c>
      <c r="B163" s="1" t="s">
        <v>240</v>
      </c>
      <c r="AA163" s="1" t="str">
        <f t="shared" si="1"/>
        <v/>
      </c>
    </row>
    <row r="164" spans="1:27" x14ac:dyDescent="0.3">
      <c r="A164" s="1" t="s">
        <v>461</v>
      </c>
      <c r="B164" s="1" t="s">
        <v>458</v>
      </c>
      <c r="C164" s="1" t="s">
        <v>462</v>
      </c>
    </row>
    <row r="165" spans="1:27" x14ac:dyDescent="0.3">
      <c r="A165" s="1" t="s">
        <v>114</v>
      </c>
      <c r="B165" s="1" t="s">
        <v>8</v>
      </c>
      <c r="C165" s="1" t="s">
        <v>21</v>
      </c>
      <c r="AA165" s="1" t="str">
        <f t="shared" si="1"/>
        <v/>
      </c>
    </row>
    <row r="166" spans="1:27" x14ac:dyDescent="0.3">
      <c r="A166" s="1" t="s">
        <v>251</v>
      </c>
      <c r="B166" s="1" t="s">
        <v>247</v>
      </c>
      <c r="AA166" s="1" t="str">
        <f t="shared" si="1"/>
        <v/>
      </c>
    </row>
    <row r="167" spans="1:27" x14ac:dyDescent="0.3">
      <c r="A167" s="1" t="s">
        <v>115</v>
      </c>
      <c r="B167" s="1" t="s">
        <v>8</v>
      </c>
      <c r="C167" s="1" t="s">
        <v>23</v>
      </c>
      <c r="AA167" s="1" t="str">
        <f t="shared" si="1"/>
        <v/>
      </c>
    </row>
    <row r="168" spans="1:27" x14ac:dyDescent="0.3">
      <c r="A168" s="1" t="s">
        <v>258</v>
      </c>
      <c r="B168" s="1" t="s">
        <v>255</v>
      </c>
      <c r="AA168" s="1" t="str">
        <f t="shared" si="1"/>
        <v/>
      </c>
    </row>
    <row r="169" spans="1:27" x14ac:dyDescent="0.3">
      <c r="A169" s="1" t="s">
        <v>469</v>
      </c>
      <c r="B169" s="1" t="s">
        <v>466</v>
      </c>
    </row>
    <row r="170" spans="1:27" x14ac:dyDescent="0.3">
      <c r="A170" s="1" t="s">
        <v>116</v>
      </c>
      <c r="B170" s="1" t="s">
        <v>8</v>
      </c>
      <c r="C170" s="1" t="s">
        <v>25</v>
      </c>
      <c r="AA170" s="1" t="str">
        <f t="shared" si="1"/>
        <v/>
      </c>
    </row>
    <row r="171" spans="1:27" x14ac:dyDescent="0.3">
      <c r="A171" s="1" t="s">
        <v>266</v>
      </c>
      <c r="B171" s="1" t="s">
        <v>262</v>
      </c>
      <c r="C171" s="1" t="s">
        <v>267</v>
      </c>
      <c r="O171" s="1" t="s">
        <v>546</v>
      </c>
      <c r="AA171" s="1" t="str">
        <f t="shared" si="1"/>
        <v/>
      </c>
    </row>
    <row r="172" spans="1:27" x14ac:dyDescent="0.3">
      <c r="A172" s="1" t="s">
        <v>117</v>
      </c>
      <c r="B172" s="1" t="s">
        <v>8</v>
      </c>
      <c r="C172" s="1" t="s">
        <v>27</v>
      </c>
      <c r="AA172" s="1" t="str">
        <f t="shared" si="1"/>
        <v/>
      </c>
    </row>
    <row r="173" spans="1:27" x14ac:dyDescent="0.3">
      <c r="A173" s="1" t="s">
        <v>283</v>
      </c>
      <c r="B173" s="1" t="s">
        <v>278</v>
      </c>
      <c r="C173" s="1" t="s">
        <v>284</v>
      </c>
    </row>
    <row r="174" spans="1:27" x14ac:dyDescent="0.3">
      <c r="A174" s="1" t="s">
        <v>475</v>
      </c>
      <c r="B174" s="1" t="s">
        <v>472</v>
      </c>
    </row>
    <row r="175" spans="1:27" x14ac:dyDescent="0.3">
      <c r="A175" s="1" t="s">
        <v>118</v>
      </c>
      <c r="B175" s="1" t="s">
        <v>8</v>
      </c>
      <c r="C175" s="1" t="s">
        <v>29</v>
      </c>
      <c r="O175" s="1" t="s">
        <v>543</v>
      </c>
      <c r="AA175" s="1" t="str">
        <f t="shared" si="1"/>
        <v/>
      </c>
    </row>
    <row r="176" spans="1:27" x14ac:dyDescent="0.3">
      <c r="A176" s="1" t="s">
        <v>294</v>
      </c>
      <c r="B176" s="1" t="s">
        <v>288</v>
      </c>
      <c r="C176" s="1" t="s">
        <v>294</v>
      </c>
    </row>
    <row r="177" spans="1:27" x14ac:dyDescent="0.3">
      <c r="A177" s="1" t="s">
        <v>119</v>
      </c>
      <c r="B177" s="1" t="s">
        <v>8</v>
      </c>
      <c r="C177" s="1" t="s">
        <v>31</v>
      </c>
      <c r="AA177" s="1" t="str">
        <f t="shared" si="1"/>
        <v/>
      </c>
    </row>
    <row r="178" spans="1:27" x14ac:dyDescent="0.3">
      <c r="A178" s="1" t="s">
        <v>302</v>
      </c>
      <c r="B178" s="1" t="s">
        <v>299</v>
      </c>
    </row>
    <row r="179" spans="1:27" x14ac:dyDescent="0.3">
      <c r="A179" s="1" t="s">
        <v>481</v>
      </c>
      <c r="B179" s="1" t="s">
        <v>478</v>
      </c>
    </row>
    <row r="180" spans="1:27" x14ac:dyDescent="0.3">
      <c r="A180" s="1" t="s">
        <v>120</v>
      </c>
      <c r="B180" s="1" t="s">
        <v>8</v>
      </c>
      <c r="C180" s="1" t="s">
        <v>33</v>
      </c>
      <c r="AA180" s="1" t="str">
        <f t="shared" si="1"/>
        <v/>
      </c>
    </row>
    <row r="181" spans="1:27" x14ac:dyDescent="0.3">
      <c r="A181" s="1" t="s">
        <v>308</v>
      </c>
      <c r="B181" s="1" t="s">
        <v>305</v>
      </c>
      <c r="C181" s="1" t="s">
        <v>311</v>
      </c>
    </row>
    <row r="182" spans="1:27" x14ac:dyDescent="0.3">
      <c r="A182" s="1" t="s">
        <v>121</v>
      </c>
      <c r="B182" s="1" t="s">
        <v>8</v>
      </c>
      <c r="C182" s="1" t="s">
        <v>35</v>
      </c>
      <c r="AA182" s="1" t="str">
        <f t="shared" si="1"/>
        <v/>
      </c>
    </row>
    <row r="183" spans="1:27" x14ac:dyDescent="0.3">
      <c r="A183" s="1" t="s">
        <v>315</v>
      </c>
      <c r="B183" s="1" t="s">
        <v>312</v>
      </c>
    </row>
    <row r="184" spans="1:27" x14ac:dyDescent="0.3">
      <c r="A184" s="1" t="s">
        <v>488</v>
      </c>
      <c r="B184" s="1" t="s">
        <v>487</v>
      </c>
    </row>
    <row r="185" spans="1:27" x14ac:dyDescent="0.3">
      <c r="A185" s="1" t="s">
        <v>122</v>
      </c>
      <c r="B185" s="1" t="s">
        <v>8</v>
      </c>
      <c r="C185" s="1" t="s">
        <v>37</v>
      </c>
      <c r="AA185" s="1" t="str">
        <f t="shared" si="1"/>
        <v/>
      </c>
    </row>
    <row r="186" spans="1:27" x14ac:dyDescent="0.3">
      <c r="A186" s="1" t="s">
        <v>329</v>
      </c>
      <c r="B186" s="1" t="s">
        <v>325</v>
      </c>
    </row>
    <row r="187" spans="1:27" x14ac:dyDescent="0.3">
      <c r="A187" s="1" t="s">
        <v>123</v>
      </c>
      <c r="B187" s="1" t="s">
        <v>8</v>
      </c>
      <c r="C187" s="1" t="s">
        <v>39</v>
      </c>
      <c r="AA187" s="1" t="str">
        <f t="shared" si="1"/>
        <v/>
      </c>
    </row>
    <row r="188" spans="1:27" x14ac:dyDescent="0.3">
      <c r="A188" s="1" t="s">
        <v>335</v>
      </c>
      <c r="B188" s="1" t="s">
        <v>332</v>
      </c>
    </row>
    <row r="189" spans="1:27" x14ac:dyDescent="0.3">
      <c r="A189" s="1" t="s">
        <v>497</v>
      </c>
      <c r="B189" s="1" t="s">
        <v>496</v>
      </c>
    </row>
    <row r="190" spans="1:27" x14ac:dyDescent="0.3">
      <c r="A190" s="1" t="s">
        <v>124</v>
      </c>
      <c r="B190" s="1" t="s">
        <v>8</v>
      </c>
      <c r="C190" s="1" t="s">
        <v>41</v>
      </c>
      <c r="AA190" s="1" t="str">
        <f t="shared" si="1"/>
        <v/>
      </c>
    </row>
    <row r="191" spans="1:27" x14ac:dyDescent="0.3">
      <c r="A191" s="1" t="s">
        <v>341</v>
      </c>
      <c r="B191" s="1" t="s">
        <v>338</v>
      </c>
    </row>
    <row r="192" spans="1:27" x14ac:dyDescent="0.3">
      <c r="A192" s="1" t="s">
        <v>125</v>
      </c>
      <c r="B192" s="1" t="s">
        <v>8</v>
      </c>
      <c r="C192" s="1" t="s">
        <v>43</v>
      </c>
      <c r="AA192" s="1" t="str">
        <f t="shared" si="1"/>
        <v/>
      </c>
    </row>
    <row r="193" spans="1:27" x14ac:dyDescent="0.3">
      <c r="A193" s="1" t="s">
        <v>347</v>
      </c>
      <c r="B193" s="1" t="s">
        <v>344</v>
      </c>
    </row>
    <row r="194" spans="1:27" x14ac:dyDescent="0.3">
      <c r="A194" s="1" t="s">
        <v>506</v>
      </c>
      <c r="B194" s="1" t="s">
        <v>502</v>
      </c>
    </row>
    <row r="195" spans="1:27" x14ac:dyDescent="0.3">
      <c r="A195" s="1" t="s">
        <v>126</v>
      </c>
      <c r="B195" s="1" t="s">
        <v>8</v>
      </c>
      <c r="C195" s="1" t="s">
        <v>45</v>
      </c>
      <c r="AA195" s="1" t="str">
        <f t="shared" si="1"/>
        <v/>
      </c>
    </row>
    <row r="196" spans="1:27" x14ac:dyDescent="0.3">
      <c r="A196" s="1" t="s">
        <v>356</v>
      </c>
      <c r="B196" s="1" t="s">
        <v>353</v>
      </c>
    </row>
    <row r="197" spans="1:27" x14ac:dyDescent="0.3">
      <c r="A197" s="1" t="s">
        <v>511</v>
      </c>
      <c r="B197" s="1" t="s">
        <v>503</v>
      </c>
    </row>
    <row r="198" spans="1:27" x14ac:dyDescent="0.3">
      <c r="A198" s="1" t="s">
        <v>127</v>
      </c>
      <c r="B198" s="1" t="s">
        <v>8</v>
      </c>
      <c r="C198" s="1" t="s">
        <v>48</v>
      </c>
      <c r="AA198" s="1" t="str">
        <f t="shared" si="1"/>
        <v/>
      </c>
    </row>
    <row r="199" spans="1:27" x14ac:dyDescent="0.3">
      <c r="A199" s="1" t="s">
        <v>362</v>
      </c>
      <c r="B199" s="1" t="s">
        <v>359</v>
      </c>
    </row>
    <row r="200" spans="1:27" x14ac:dyDescent="0.3">
      <c r="A200" s="1" t="s">
        <v>128</v>
      </c>
      <c r="B200" s="1" t="s">
        <v>8</v>
      </c>
      <c r="C200" s="1" t="s">
        <v>50</v>
      </c>
      <c r="AA200" s="1" t="str">
        <f t="shared" si="1"/>
        <v/>
      </c>
    </row>
    <row r="201" spans="1:27" x14ac:dyDescent="0.3">
      <c r="A201" s="1" t="s">
        <v>368</v>
      </c>
      <c r="B201" s="1" t="s">
        <v>365</v>
      </c>
    </row>
    <row r="202" spans="1:27" x14ac:dyDescent="0.3">
      <c r="A202" s="1" t="s">
        <v>129</v>
      </c>
      <c r="B202" s="1" t="s">
        <v>8</v>
      </c>
      <c r="C202" s="1" t="s">
        <v>52</v>
      </c>
      <c r="AA202" s="1" t="str">
        <f t="shared" si="1"/>
        <v/>
      </c>
    </row>
    <row r="203" spans="1:27" x14ac:dyDescent="0.3">
      <c r="A203" s="1" t="s">
        <v>374</v>
      </c>
      <c r="B203" s="1" t="s">
        <v>371</v>
      </c>
    </row>
    <row r="204" spans="1:27" x14ac:dyDescent="0.3">
      <c r="A204" s="1" t="s">
        <v>130</v>
      </c>
      <c r="B204" s="1" t="s">
        <v>8</v>
      </c>
      <c r="C204" s="1" t="s">
        <v>54</v>
      </c>
      <c r="AA204" s="1" t="str">
        <f t="shared" si="1"/>
        <v/>
      </c>
    </row>
    <row r="205" spans="1:27" x14ac:dyDescent="0.3">
      <c r="A205" s="1" t="s">
        <v>380</v>
      </c>
      <c r="B205" s="1" t="s">
        <v>377</v>
      </c>
      <c r="C205" s="1" t="s">
        <v>386</v>
      </c>
    </row>
    <row r="206" spans="1:27" x14ac:dyDescent="0.3">
      <c r="A206" s="1" t="s">
        <v>131</v>
      </c>
      <c r="B206" s="1" t="s">
        <v>8</v>
      </c>
      <c r="C206" s="1" t="s">
        <v>56</v>
      </c>
      <c r="AA206" s="1" t="str">
        <f t="shared" si="1"/>
        <v/>
      </c>
    </row>
    <row r="207" spans="1:27" x14ac:dyDescent="0.3">
      <c r="A207" s="1" t="s">
        <v>391</v>
      </c>
      <c r="B207" s="1" t="s">
        <v>388</v>
      </c>
    </row>
    <row r="208" spans="1:27" x14ac:dyDescent="0.3">
      <c r="A208" s="1" t="s">
        <v>132</v>
      </c>
      <c r="B208" s="1" t="s">
        <v>8</v>
      </c>
      <c r="C208" s="1" t="s">
        <v>58</v>
      </c>
      <c r="AA208" s="1" t="str">
        <f t="shared" si="1"/>
        <v/>
      </c>
    </row>
    <row r="209" spans="1:27" x14ac:dyDescent="0.3">
      <c r="A209" s="1" t="s">
        <v>397</v>
      </c>
      <c r="B209" s="1" t="s">
        <v>394</v>
      </c>
    </row>
    <row r="210" spans="1:27" x14ac:dyDescent="0.3">
      <c r="A210" s="1" t="s">
        <v>133</v>
      </c>
      <c r="B210" s="1" t="s">
        <v>8</v>
      </c>
      <c r="C210" s="1" t="s">
        <v>60</v>
      </c>
      <c r="AA210" s="1" t="str">
        <f t="shared" si="1"/>
        <v/>
      </c>
    </row>
    <row r="211" spans="1:27" x14ac:dyDescent="0.3">
      <c r="A211" s="1" t="s">
        <v>403</v>
      </c>
      <c r="B211" s="1" t="s">
        <v>400</v>
      </c>
    </row>
    <row r="212" spans="1:27" x14ac:dyDescent="0.3">
      <c r="A212" s="1" t="s">
        <v>134</v>
      </c>
      <c r="B212" s="1" t="s">
        <v>8</v>
      </c>
      <c r="C212" s="1" t="s">
        <v>62</v>
      </c>
      <c r="AA212" s="1" t="str">
        <f t="shared" si="1"/>
        <v/>
      </c>
    </row>
    <row r="213" spans="1:27" x14ac:dyDescent="0.3">
      <c r="A213" s="1" t="s">
        <v>409</v>
      </c>
      <c r="B213" s="1" t="s">
        <v>406</v>
      </c>
    </row>
    <row r="214" spans="1:27" x14ac:dyDescent="0.3">
      <c r="A214" s="1" t="s">
        <v>135</v>
      </c>
      <c r="B214" s="1" t="s">
        <v>8</v>
      </c>
      <c r="C214" s="1" t="s">
        <v>64</v>
      </c>
      <c r="AA214" s="1" t="str">
        <f t="shared" si="1"/>
        <v/>
      </c>
    </row>
    <row r="215" spans="1:27" x14ac:dyDescent="0.3">
      <c r="A215" s="1" t="s">
        <v>417</v>
      </c>
      <c r="B215" s="1" t="s">
        <v>414</v>
      </c>
    </row>
    <row r="216" spans="1:27" x14ac:dyDescent="0.3">
      <c r="A216" s="1" t="s">
        <v>136</v>
      </c>
      <c r="B216" s="1" t="s">
        <v>8</v>
      </c>
      <c r="C216" s="1" t="s">
        <v>67</v>
      </c>
      <c r="AA216" s="1" t="str">
        <f t="shared" si="1"/>
        <v/>
      </c>
    </row>
    <row r="217" spans="1:27" x14ac:dyDescent="0.3">
      <c r="A217" s="1" t="s">
        <v>423</v>
      </c>
      <c r="B217" s="1" t="s">
        <v>420</v>
      </c>
    </row>
    <row r="218" spans="1:27" x14ac:dyDescent="0.3">
      <c r="A218" s="1" t="s">
        <v>137</v>
      </c>
      <c r="B218" s="1" t="s">
        <v>8</v>
      </c>
      <c r="C218" s="1" t="s">
        <v>70</v>
      </c>
      <c r="AA218" s="1" t="str">
        <f t="shared" si="1"/>
        <v/>
      </c>
    </row>
    <row r="219" spans="1:27" x14ac:dyDescent="0.3">
      <c r="A219" s="1" t="s">
        <v>430</v>
      </c>
      <c r="B219" s="1" t="s">
        <v>429</v>
      </c>
    </row>
    <row r="220" spans="1:27" x14ac:dyDescent="0.3">
      <c r="A220" s="1" t="s">
        <v>138</v>
      </c>
      <c r="B220" s="1" t="s">
        <v>8</v>
      </c>
      <c r="C220" s="1" t="s">
        <v>139</v>
      </c>
      <c r="AA220" s="1" t="str">
        <f t="shared" si="1"/>
        <v/>
      </c>
    </row>
    <row r="221" spans="1:27" x14ac:dyDescent="0.3">
      <c r="A221" s="1" t="s">
        <v>433</v>
      </c>
      <c r="B221" s="1" t="s">
        <v>432</v>
      </c>
    </row>
    <row r="222" spans="1:27" x14ac:dyDescent="0.3">
      <c r="A222" s="1" t="s">
        <v>140</v>
      </c>
      <c r="B222" s="1" t="s">
        <v>8</v>
      </c>
      <c r="C222" s="1" t="s">
        <v>141</v>
      </c>
      <c r="AA222" s="1" t="str">
        <f t="shared" si="1"/>
        <v/>
      </c>
    </row>
    <row r="223" spans="1:27" x14ac:dyDescent="0.3">
      <c r="A223" s="1" t="s">
        <v>439</v>
      </c>
      <c r="B223" s="1" t="s">
        <v>436</v>
      </c>
    </row>
    <row r="224" spans="1:27" x14ac:dyDescent="0.3">
      <c r="A224" s="1" t="s">
        <v>142</v>
      </c>
      <c r="B224" s="1" t="s">
        <v>8</v>
      </c>
      <c r="C224" s="1" t="s">
        <v>9</v>
      </c>
      <c r="AA224" s="1" t="str">
        <f t="shared" si="1"/>
        <v/>
      </c>
    </row>
    <row r="225" spans="1:27" x14ac:dyDescent="0.3">
      <c r="A225" s="1" t="s">
        <v>445</v>
      </c>
      <c r="B225" s="1" t="s">
        <v>442</v>
      </c>
    </row>
    <row r="226" spans="1:27" x14ac:dyDescent="0.3">
      <c r="A226" s="1" t="s">
        <v>143</v>
      </c>
      <c r="B226" s="1" t="s">
        <v>8</v>
      </c>
      <c r="C226" s="1" t="s">
        <v>74</v>
      </c>
      <c r="AA226" s="1" t="str">
        <f t="shared" si="1"/>
        <v/>
      </c>
    </row>
    <row r="227" spans="1:27" x14ac:dyDescent="0.3">
      <c r="A227" s="1" t="s">
        <v>144</v>
      </c>
      <c r="B227" s="1" t="s">
        <v>8</v>
      </c>
      <c r="C227" s="1" t="s">
        <v>11</v>
      </c>
      <c r="D227" s="1" t="s">
        <v>320</v>
      </c>
      <c r="E227" s="1" t="s">
        <v>320</v>
      </c>
      <c r="F227" s="1">
        <v>1007</v>
      </c>
      <c r="G227" s="1">
        <f>F227-H227</f>
        <v>989.37750000000005</v>
      </c>
      <c r="H227" s="1">
        <f>0.0175*F227</f>
        <v>17.622500000000002</v>
      </c>
      <c r="I227" s="1">
        <f>(121.5+144.8)/2</f>
        <v>133.15</v>
      </c>
      <c r="J227" s="1">
        <v>4027</v>
      </c>
      <c r="K227" s="1">
        <f>(200+571)/2</f>
        <v>385.5</v>
      </c>
      <c r="L227" s="1" t="s">
        <v>530</v>
      </c>
      <c r="M227" s="1" t="s">
        <v>529</v>
      </c>
      <c r="N227" s="1" t="s">
        <v>535</v>
      </c>
      <c r="AA227" s="1" t="str">
        <f t="shared" si="1"/>
        <v/>
      </c>
    </row>
    <row r="228" spans="1:27" x14ac:dyDescent="0.3">
      <c r="A228" s="1" t="s">
        <v>211</v>
      </c>
      <c r="B228" s="1" t="s">
        <v>208</v>
      </c>
      <c r="C228" s="1" t="s">
        <v>541</v>
      </c>
      <c r="AA228" s="1" t="str">
        <f t="shared" si="1"/>
        <v/>
      </c>
    </row>
    <row r="229" spans="1:27" x14ac:dyDescent="0.3">
      <c r="A229" s="1" t="s">
        <v>145</v>
      </c>
      <c r="B229" s="1" t="s">
        <v>8</v>
      </c>
      <c r="C229" s="1" t="s">
        <v>13</v>
      </c>
      <c r="AA229" s="1" t="str">
        <f t="shared" si="1"/>
        <v/>
      </c>
    </row>
    <row r="230" spans="1:27" x14ac:dyDescent="0.3">
      <c r="A230" s="1" t="s">
        <v>220</v>
      </c>
      <c r="B230" s="1" t="s">
        <v>213</v>
      </c>
      <c r="C230" s="1" t="s">
        <v>221</v>
      </c>
      <c r="AA230" s="1" t="str">
        <f t="shared" ref="AA230:AA342" si="2">IF(OR(Y230="", Z230=""), "", Y230+Z230)</f>
        <v/>
      </c>
    </row>
    <row r="231" spans="1:27" x14ac:dyDescent="0.3">
      <c r="A231" s="1" t="s">
        <v>456</v>
      </c>
      <c r="B231" s="1" t="s">
        <v>449</v>
      </c>
      <c r="C231" s="1" t="s">
        <v>451</v>
      </c>
    </row>
    <row r="232" spans="1:27" x14ac:dyDescent="0.3">
      <c r="A232" s="1" t="s">
        <v>146</v>
      </c>
      <c r="B232" s="1" t="s">
        <v>8</v>
      </c>
      <c r="C232" s="1" t="s">
        <v>15</v>
      </c>
      <c r="AA232" s="1" t="str">
        <f t="shared" si="2"/>
        <v/>
      </c>
    </row>
    <row r="233" spans="1:27" x14ac:dyDescent="0.3">
      <c r="A233" s="1" t="s">
        <v>232</v>
      </c>
      <c r="B233" s="1" t="s">
        <v>228</v>
      </c>
      <c r="AA233" s="1" t="str">
        <f t="shared" si="2"/>
        <v/>
      </c>
    </row>
    <row r="234" spans="1:27" x14ac:dyDescent="0.3">
      <c r="A234" s="1" t="s">
        <v>147</v>
      </c>
      <c r="B234" s="1" t="s">
        <v>8</v>
      </c>
      <c r="C234" s="1" t="s">
        <v>17</v>
      </c>
      <c r="AA234" s="1" t="str">
        <f t="shared" si="2"/>
        <v/>
      </c>
    </row>
    <row r="235" spans="1:27" x14ac:dyDescent="0.3">
      <c r="A235" s="1" t="s">
        <v>238</v>
      </c>
      <c r="B235" s="1" t="s">
        <v>234</v>
      </c>
      <c r="AA235" s="1" t="str">
        <f t="shared" si="2"/>
        <v/>
      </c>
    </row>
    <row r="236" spans="1:27" x14ac:dyDescent="0.3">
      <c r="A236" s="1" t="s">
        <v>148</v>
      </c>
      <c r="B236" s="1" t="s">
        <v>8</v>
      </c>
      <c r="C236" s="1" t="s">
        <v>19</v>
      </c>
      <c r="AA236" s="1" t="str">
        <f t="shared" si="2"/>
        <v/>
      </c>
    </row>
    <row r="237" spans="1:27" x14ac:dyDescent="0.3">
      <c r="A237" s="1" t="s">
        <v>244</v>
      </c>
      <c r="B237" s="1" t="s">
        <v>240</v>
      </c>
      <c r="AA237" s="1" t="str">
        <f t="shared" si="2"/>
        <v/>
      </c>
    </row>
    <row r="238" spans="1:27" x14ac:dyDescent="0.3">
      <c r="A238" s="1" t="s">
        <v>463</v>
      </c>
      <c r="B238" s="1" t="s">
        <v>458</v>
      </c>
    </row>
    <row r="239" spans="1:27" x14ac:dyDescent="0.3">
      <c r="A239" s="1" t="s">
        <v>149</v>
      </c>
      <c r="B239" s="1" t="s">
        <v>8</v>
      </c>
      <c r="C239" s="1" t="s">
        <v>21</v>
      </c>
      <c r="AA239" s="1" t="str">
        <f t="shared" si="2"/>
        <v/>
      </c>
    </row>
    <row r="240" spans="1:27" x14ac:dyDescent="0.3">
      <c r="A240" s="1" t="s">
        <v>252</v>
      </c>
      <c r="B240" s="1" t="s">
        <v>247</v>
      </c>
      <c r="AA240" s="1" t="str">
        <f t="shared" si="2"/>
        <v/>
      </c>
    </row>
    <row r="241" spans="1:27" x14ac:dyDescent="0.3">
      <c r="A241" s="1" t="s">
        <v>150</v>
      </c>
      <c r="B241" s="1" t="s">
        <v>8</v>
      </c>
      <c r="C241" s="1" t="s">
        <v>23</v>
      </c>
      <c r="AA241" s="1" t="str">
        <f t="shared" si="2"/>
        <v/>
      </c>
    </row>
    <row r="242" spans="1:27" x14ac:dyDescent="0.3">
      <c r="A242" s="1" t="s">
        <v>259</v>
      </c>
      <c r="B242" s="1" t="s">
        <v>255</v>
      </c>
      <c r="AA242" s="1" t="str">
        <f t="shared" si="2"/>
        <v/>
      </c>
    </row>
    <row r="243" spans="1:27" x14ac:dyDescent="0.3">
      <c r="A243" s="1" t="s">
        <v>470</v>
      </c>
      <c r="B243" s="1" t="s">
        <v>466</v>
      </c>
    </row>
    <row r="244" spans="1:27" x14ac:dyDescent="0.3">
      <c r="A244" s="1" t="s">
        <v>151</v>
      </c>
      <c r="B244" s="1" t="s">
        <v>8</v>
      </c>
      <c r="C244" s="1" t="s">
        <v>25</v>
      </c>
      <c r="AA244" s="1" t="str">
        <f t="shared" si="2"/>
        <v/>
      </c>
    </row>
    <row r="245" spans="1:27" x14ac:dyDescent="0.3">
      <c r="A245" s="1" t="s">
        <v>268</v>
      </c>
      <c r="B245" s="1" t="s">
        <v>262</v>
      </c>
      <c r="AA245" s="1" t="str">
        <f t="shared" si="2"/>
        <v/>
      </c>
    </row>
    <row r="246" spans="1:27" x14ac:dyDescent="0.3">
      <c r="A246" s="1" t="s">
        <v>152</v>
      </c>
      <c r="B246" s="1" t="s">
        <v>8</v>
      </c>
      <c r="C246" s="1" t="s">
        <v>27</v>
      </c>
      <c r="AA246" s="1" t="str">
        <f t="shared" si="2"/>
        <v/>
      </c>
    </row>
    <row r="247" spans="1:27" x14ac:dyDescent="0.3">
      <c r="A247" s="1" t="s">
        <v>285</v>
      </c>
      <c r="B247" s="1" t="s">
        <v>278</v>
      </c>
    </row>
    <row r="248" spans="1:27" x14ac:dyDescent="0.3">
      <c r="A248" s="1" t="s">
        <v>476</v>
      </c>
      <c r="B248" s="1" t="s">
        <v>472</v>
      </c>
    </row>
    <row r="249" spans="1:27" x14ac:dyDescent="0.3">
      <c r="A249" s="1" t="s">
        <v>153</v>
      </c>
      <c r="B249" s="1" t="s">
        <v>8</v>
      </c>
      <c r="C249" s="1" t="s">
        <v>29</v>
      </c>
      <c r="AA249" s="1" t="str">
        <f t="shared" si="2"/>
        <v/>
      </c>
    </row>
    <row r="250" spans="1:27" x14ac:dyDescent="0.3">
      <c r="A250" s="1" t="s">
        <v>295</v>
      </c>
      <c r="B250" s="1" t="s">
        <v>288</v>
      </c>
    </row>
    <row r="251" spans="1:27" x14ac:dyDescent="0.3">
      <c r="A251" s="1" t="s">
        <v>154</v>
      </c>
      <c r="B251" s="1" t="s">
        <v>8</v>
      </c>
      <c r="C251" s="1" t="s">
        <v>31</v>
      </c>
      <c r="AA251" s="1" t="str">
        <f t="shared" si="2"/>
        <v/>
      </c>
    </row>
    <row r="252" spans="1:27" x14ac:dyDescent="0.3">
      <c r="A252" s="1" t="s">
        <v>303</v>
      </c>
      <c r="B252" s="1" t="s">
        <v>299</v>
      </c>
    </row>
    <row r="253" spans="1:27" x14ac:dyDescent="0.3">
      <c r="A253" s="1" t="s">
        <v>482</v>
      </c>
      <c r="B253" s="1" t="s">
        <v>478</v>
      </c>
    </row>
    <row r="254" spans="1:27" x14ac:dyDescent="0.3">
      <c r="A254" s="1" t="s">
        <v>155</v>
      </c>
      <c r="B254" s="1" t="s">
        <v>8</v>
      </c>
      <c r="C254" s="1" t="s">
        <v>33</v>
      </c>
      <c r="AA254" s="1" t="str">
        <f t="shared" si="2"/>
        <v/>
      </c>
    </row>
    <row r="255" spans="1:27" x14ac:dyDescent="0.3">
      <c r="A255" s="1" t="s">
        <v>309</v>
      </c>
      <c r="B255" s="1" t="s">
        <v>305</v>
      </c>
      <c r="C255" s="1" t="s">
        <v>311</v>
      </c>
    </row>
    <row r="256" spans="1:27" x14ac:dyDescent="0.3">
      <c r="A256" s="1" t="s">
        <v>156</v>
      </c>
      <c r="B256" s="1" t="s">
        <v>8</v>
      </c>
      <c r="C256" s="1" t="s">
        <v>35</v>
      </c>
      <c r="AA256" s="1" t="str">
        <f t="shared" si="2"/>
        <v/>
      </c>
    </row>
    <row r="257" spans="1:27" x14ac:dyDescent="0.3">
      <c r="A257" s="1" t="s">
        <v>316</v>
      </c>
      <c r="B257" s="1" t="s">
        <v>312</v>
      </c>
    </row>
    <row r="258" spans="1:27" x14ac:dyDescent="0.3">
      <c r="A258" s="1" t="s">
        <v>489</v>
      </c>
      <c r="B258" s="1" t="s">
        <v>490</v>
      </c>
    </row>
    <row r="259" spans="1:27" x14ac:dyDescent="0.3">
      <c r="A259" s="1" t="s">
        <v>157</v>
      </c>
      <c r="B259" s="1" t="s">
        <v>8</v>
      </c>
      <c r="C259" s="1" t="s">
        <v>37</v>
      </c>
      <c r="AA259" s="1" t="str">
        <f t="shared" si="2"/>
        <v/>
      </c>
    </row>
    <row r="260" spans="1:27" x14ac:dyDescent="0.3">
      <c r="A260" s="1" t="s">
        <v>330</v>
      </c>
      <c r="B260" s="1" t="s">
        <v>325</v>
      </c>
    </row>
    <row r="261" spans="1:27" x14ac:dyDescent="0.3">
      <c r="A261" s="1" t="s">
        <v>158</v>
      </c>
      <c r="B261" s="1" t="s">
        <v>8</v>
      </c>
      <c r="C261" s="1" t="s">
        <v>39</v>
      </c>
      <c r="AA261" s="1" t="str">
        <f t="shared" si="2"/>
        <v/>
      </c>
    </row>
    <row r="262" spans="1:27" x14ac:dyDescent="0.3">
      <c r="A262" s="1" t="s">
        <v>336</v>
      </c>
      <c r="B262" s="1" t="s">
        <v>332</v>
      </c>
    </row>
    <row r="263" spans="1:27" x14ac:dyDescent="0.3">
      <c r="A263" s="1" t="s">
        <v>499</v>
      </c>
      <c r="B263" s="1" t="s">
        <v>498</v>
      </c>
    </row>
    <row r="264" spans="1:27" x14ac:dyDescent="0.3">
      <c r="A264" s="1" t="s">
        <v>159</v>
      </c>
      <c r="B264" s="1" t="s">
        <v>8</v>
      </c>
      <c r="C264" s="1" t="s">
        <v>41</v>
      </c>
      <c r="AA264" s="1" t="str">
        <f t="shared" si="2"/>
        <v/>
      </c>
    </row>
    <row r="265" spans="1:27" x14ac:dyDescent="0.3">
      <c r="A265" s="1" t="s">
        <v>342</v>
      </c>
      <c r="B265" s="1" t="s">
        <v>338</v>
      </c>
    </row>
    <row r="266" spans="1:27" x14ac:dyDescent="0.3">
      <c r="A266" s="1" t="s">
        <v>160</v>
      </c>
      <c r="B266" s="1" t="s">
        <v>8</v>
      </c>
      <c r="C266" s="1" t="s">
        <v>43</v>
      </c>
      <c r="AA266" s="1" t="str">
        <f t="shared" si="2"/>
        <v/>
      </c>
    </row>
    <row r="267" spans="1:27" x14ac:dyDescent="0.3">
      <c r="A267" s="1" t="s">
        <v>348</v>
      </c>
      <c r="B267" s="1" t="s">
        <v>344</v>
      </c>
    </row>
    <row r="268" spans="1:27" x14ac:dyDescent="0.3">
      <c r="A268" s="1" t="s">
        <v>507</v>
      </c>
      <c r="B268" s="1" t="s">
        <v>502</v>
      </c>
    </row>
    <row r="269" spans="1:27" x14ac:dyDescent="0.3">
      <c r="A269" s="1" t="s">
        <v>161</v>
      </c>
      <c r="B269" s="1" t="s">
        <v>8</v>
      </c>
      <c r="C269" s="1" t="s">
        <v>45</v>
      </c>
      <c r="AA269" s="1" t="str">
        <f t="shared" si="2"/>
        <v/>
      </c>
    </row>
    <row r="270" spans="1:27" x14ac:dyDescent="0.3">
      <c r="A270" s="1" t="s">
        <v>357</v>
      </c>
      <c r="B270" s="1" t="s">
        <v>353</v>
      </c>
    </row>
    <row r="271" spans="1:27" x14ac:dyDescent="0.3">
      <c r="A271" s="1" t="s">
        <v>162</v>
      </c>
      <c r="B271" s="1" t="s">
        <v>8</v>
      </c>
      <c r="C271" s="1" t="s">
        <v>48</v>
      </c>
      <c r="AA271" s="1" t="str">
        <f t="shared" si="2"/>
        <v/>
      </c>
    </row>
    <row r="272" spans="1:27" x14ac:dyDescent="0.3">
      <c r="A272" s="1" t="s">
        <v>363</v>
      </c>
      <c r="B272" s="1" t="s">
        <v>359</v>
      </c>
    </row>
    <row r="273" spans="1:27" x14ac:dyDescent="0.3">
      <c r="A273" s="1" t="s">
        <v>163</v>
      </c>
      <c r="B273" s="1" t="s">
        <v>8</v>
      </c>
      <c r="C273" s="1" t="s">
        <v>50</v>
      </c>
      <c r="AA273" s="1" t="str">
        <f t="shared" si="2"/>
        <v/>
      </c>
    </row>
    <row r="274" spans="1:27" x14ac:dyDescent="0.3">
      <c r="A274" s="1" t="s">
        <v>369</v>
      </c>
      <c r="B274" s="1" t="s">
        <v>365</v>
      </c>
    </row>
    <row r="275" spans="1:27" x14ac:dyDescent="0.3">
      <c r="A275" s="1" t="s">
        <v>164</v>
      </c>
      <c r="B275" s="1" t="s">
        <v>8</v>
      </c>
      <c r="C275" s="1" t="s">
        <v>52</v>
      </c>
      <c r="AA275" s="1" t="str">
        <f t="shared" si="2"/>
        <v/>
      </c>
    </row>
    <row r="276" spans="1:27" x14ac:dyDescent="0.3">
      <c r="A276" s="1" t="s">
        <v>375</v>
      </c>
      <c r="B276" s="1" t="s">
        <v>371</v>
      </c>
    </row>
    <row r="277" spans="1:27" x14ac:dyDescent="0.3">
      <c r="A277" s="1" t="s">
        <v>165</v>
      </c>
      <c r="B277" s="1" t="s">
        <v>8</v>
      </c>
      <c r="C277" s="1" t="s">
        <v>54</v>
      </c>
      <c r="AA277" s="1" t="str">
        <f t="shared" si="2"/>
        <v/>
      </c>
    </row>
    <row r="278" spans="1:27" x14ac:dyDescent="0.3">
      <c r="A278" s="1" t="s">
        <v>381</v>
      </c>
      <c r="B278" s="1" t="s">
        <v>377</v>
      </c>
      <c r="C278" s="1" t="s">
        <v>384</v>
      </c>
    </row>
    <row r="279" spans="1:27" x14ac:dyDescent="0.3">
      <c r="A279" s="1" t="s">
        <v>166</v>
      </c>
      <c r="B279" s="1" t="s">
        <v>8</v>
      </c>
      <c r="C279" s="1" t="s">
        <v>56</v>
      </c>
      <c r="AA279" s="1" t="str">
        <f t="shared" si="2"/>
        <v/>
      </c>
    </row>
    <row r="280" spans="1:27" x14ac:dyDescent="0.3">
      <c r="A280" s="1" t="s">
        <v>392</v>
      </c>
      <c r="B280" s="1" t="s">
        <v>388</v>
      </c>
    </row>
    <row r="281" spans="1:27" x14ac:dyDescent="0.3">
      <c r="A281" s="1" t="s">
        <v>167</v>
      </c>
      <c r="B281" s="1" t="s">
        <v>8</v>
      </c>
      <c r="C281" s="1" t="s">
        <v>58</v>
      </c>
      <c r="AA281" s="1" t="str">
        <f t="shared" si="2"/>
        <v/>
      </c>
    </row>
    <row r="282" spans="1:27" x14ac:dyDescent="0.3">
      <c r="A282" s="1" t="s">
        <v>398</v>
      </c>
      <c r="B282" s="1" t="s">
        <v>394</v>
      </c>
      <c r="O282" s="1" t="s">
        <v>546</v>
      </c>
    </row>
    <row r="283" spans="1:27" x14ac:dyDescent="0.3">
      <c r="A283" s="1" t="s">
        <v>168</v>
      </c>
      <c r="B283" s="1" t="s">
        <v>8</v>
      </c>
      <c r="C283" s="1" t="s">
        <v>60</v>
      </c>
      <c r="AA283" s="1" t="str">
        <f t="shared" si="2"/>
        <v/>
      </c>
    </row>
    <row r="284" spans="1:27" x14ac:dyDescent="0.3">
      <c r="A284" s="1" t="s">
        <v>404</v>
      </c>
      <c r="B284" s="1" t="s">
        <v>400</v>
      </c>
    </row>
    <row r="285" spans="1:27" x14ac:dyDescent="0.3">
      <c r="A285" s="1" t="s">
        <v>169</v>
      </c>
      <c r="B285" s="1" t="s">
        <v>8</v>
      </c>
      <c r="C285" s="1" t="s">
        <v>62</v>
      </c>
      <c r="AA285" s="1" t="str">
        <f t="shared" si="2"/>
        <v/>
      </c>
    </row>
    <row r="286" spans="1:27" x14ac:dyDescent="0.3">
      <c r="A286" s="1" t="s">
        <v>410</v>
      </c>
      <c r="B286" s="1" t="s">
        <v>406</v>
      </c>
    </row>
    <row r="287" spans="1:27" x14ac:dyDescent="0.3">
      <c r="A287" s="1" t="s">
        <v>170</v>
      </c>
      <c r="B287" s="1" t="s">
        <v>8</v>
      </c>
      <c r="C287" s="1" t="s">
        <v>64</v>
      </c>
      <c r="AA287" s="1" t="str">
        <f t="shared" si="2"/>
        <v/>
      </c>
    </row>
    <row r="288" spans="1:27" x14ac:dyDescent="0.3">
      <c r="A288" s="1" t="s">
        <v>418</v>
      </c>
      <c r="B288" s="1" t="s">
        <v>414</v>
      </c>
    </row>
    <row r="289" spans="1:27" x14ac:dyDescent="0.3">
      <c r="A289" s="1" t="s">
        <v>171</v>
      </c>
      <c r="B289" s="1" t="s">
        <v>8</v>
      </c>
      <c r="C289" s="1" t="s">
        <v>67</v>
      </c>
      <c r="AA289" s="1" t="str">
        <f t="shared" si="2"/>
        <v/>
      </c>
    </row>
    <row r="290" spans="1:27" x14ac:dyDescent="0.3">
      <c r="A290" s="1" t="s">
        <v>424</v>
      </c>
      <c r="B290" s="1" t="s">
        <v>420</v>
      </c>
    </row>
    <row r="291" spans="1:27" x14ac:dyDescent="0.3">
      <c r="A291" s="1" t="s">
        <v>172</v>
      </c>
      <c r="B291" s="1" t="s">
        <v>8</v>
      </c>
      <c r="C291" s="1" t="s">
        <v>70</v>
      </c>
      <c r="AA291" s="1" t="str">
        <f t="shared" si="2"/>
        <v/>
      </c>
    </row>
    <row r="292" spans="1:27" x14ac:dyDescent="0.3">
      <c r="A292" s="1" t="s">
        <v>431</v>
      </c>
      <c r="B292" s="1" t="s">
        <v>429</v>
      </c>
    </row>
    <row r="293" spans="1:27" x14ac:dyDescent="0.3">
      <c r="A293" s="1" t="s">
        <v>173</v>
      </c>
      <c r="B293" s="1" t="s">
        <v>8</v>
      </c>
      <c r="C293" s="1" t="s">
        <v>139</v>
      </c>
      <c r="AA293" s="1" t="str">
        <f t="shared" si="2"/>
        <v/>
      </c>
    </row>
    <row r="294" spans="1:27" x14ac:dyDescent="0.3">
      <c r="A294" s="1" t="s">
        <v>434</v>
      </c>
      <c r="B294" s="1" t="s">
        <v>432</v>
      </c>
    </row>
    <row r="295" spans="1:27" x14ac:dyDescent="0.3">
      <c r="A295" s="1" t="s">
        <v>174</v>
      </c>
      <c r="B295" s="1" t="s">
        <v>8</v>
      </c>
      <c r="C295" s="1" t="s">
        <v>141</v>
      </c>
      <c r="AA295" s="1" t="str">
        <f t="shared" si="2"/>
        <v/>
      </c>
    </row>
    <row r="296" spans="1:27" x14ac:dyDescent="0.3">
      <c r="A296" s="1" t="s">
        <v>440</v>
      </c>
      <c r="B296" s="1" t="s">
        <v>436</v>
      </c>
    </row>
    <row r="297" spans="1:27" x14ac:dyDescent="0.3">
      <c r="A297" s="1" t="s">
        <v>175</v>
      </c>
      <c r="B297" s="1" t="s">
        <v>8</v>
      </c>
      <c r="C297" s="1" t="s">
        <v>9</v>
      </c>
      <c r="AA297" s="1" t="str">
        <f t="shared" si="2"/>
        <v/>
      </c>
    </row>
    <row r="298" spans="1:27" x14ac:dyDescent="0.3">
      <c r="A298" s="1" t="s">
        <v>446</v>
      </c>
      <c r="B298" s="1" t="s">
        <v>442</v>
      </c>
    </row>
    <row r="299" spans="1:27" x14ac:dyDescent="0.3">
      <c r="A299" s="1" t="s">
        <v>176</v>
      </c>
      <c r="B299" s="1" t="s">
        <v>8</v>
      </c>
      <c r="C299" s="1" t="s">
        <v>74</v>
      </c>
      <c r="AA299" s="1" t="str">
        <f t="shared" si="2"/>
        <v/>
      </c>
    </row>
    <row r="300" spans="1:27" ht="28.8" x14ac:dyDescent="0.3">
      <c r="A300" s="1" t="s">
        <v>177</v>
      </c>
      <c r="B300" s="1" t="s">
        <v>8</v>
      </c>
      <c r="C300" s="1" t="s">
        <v>11</v>
      </c>
      <c r="D300" s="1" t="s">
        <v>320</v>
      </c>
      <c r="E300" s="1" t="s">
        <v>320</v>
      </c>
      <c r="F300" s="1">
        <v>1073</v>
      </c>
      <c r="G300" s="1">
        <f>F300-H300</f>
        <v>1035.4449999999999</v>
      </c>
      <c r="H300" s="1">
        <f>0.035*F300</f>
        <v>37.555000000000007</v>
      </c>
      <c r="I300" s="1">
        <f>(82.1+144.94)/2</f>
        <v>113.52</v>
      </c>
      <c r="J300" s="1">
        <v>1535</v>
      </c>
      <c r="K300" s="1">
        <v>477.34</v>
      </c>
      <c r="L300" s="1" t="s">
        <v>525</v>
      </c>
      <c r="M300" s="1" t="s">
        <v>529</v>
      </c>
      <c r="N300" s="2" t="s">
        <v>536</v>
      </c>
      <c r="AA300" s="1" t="str">
        <f t="shared" si="2"/>
        <v/>
      </c>
    </row>
    <row r="301" spans="1:27" x14ac:dyDescent="0.3">
      <c r="A301" s="1" t="s">
        <v>212</v>
      </c>
      <c r="B301" s="1" t="s">
        <v>208</v>
      </c>
      <c r="C301" s="1" t="s">
        <v>542</v>
      </c>
      <c r="AA301" s="1" t="str">
        <f t="shared" si="2"/>
        <v/>
      </c>
    </row>
    <row r="302" spans="1:27" x14ac:dyDescent="0.3">
      <c r="A302" s="1" t="s">
        <v>178</v>
      </c>
      <c r="B302" s="1" t="s">
        <v>8</v>
      </c>
      <c r="C302" s="1" t="s">
        <v>13</v>
      </c>
      <c r="AA302" s="1" t="str">
        <f t="shared" si="2"/>
        <v/>
      </c>
    </row>
    <row r="303" spans="1:27" x14ac:dyDescent="0.3">
      <c r="A303" s="1" t="s">
        <v>222</v>
      </c>
      <c r="B303" s="1" t="s">
        <v>213</v>
      </c>
      <c r="C303" s="1" t="s">
        <v>223</v>
      </c>
      <c r="AA303" s="1" t="str">
        <f t="shared" si="2"/>
        <v/>
      </c>
    </row>
    <row r="304" spans="1:27" x14ac:dyDescent="0.3">
      <c r="A304" s="1" t="s">
        <v>457</v>
      </c>
      <c r="B304" s="1" t="s">
        <v>449</v>
      </c>
      <c r="C304" s="1" t="s">
        <v>455</v>
      </c>
    </row>
    <row r="305" spans="1:27" x14ac:dyDescent="0.3">
      <c r="A305" s="1" t="s">
        <v>179</v>
      </c>
      <c r="B305" s="1" t="s">
        <v>8</v>
      </c>
      <c r="C305" s="1" t="s">
        <v>15</v>
      </c>
      <c r="AA305" s="1" t="str">
        <f t="shared" si="2"/>
        <v/>
      </c>
    </row>
    <row r="306" spans="1:27" x14ac:dyDescent="0.3">
      <c r="A306" s="1" t="s">
        <v>233</v>
      </c>
      <c r="B306" s="1" t="s">
        <v>228</v>
      </c>
      <c r="AA306" s="1" t="str">
        <f t="shared" si="2"/>
        <v/>
      </c>
    </row>
    <row r="307" spans="1:27" x14ac:dyDescent="0.3">
      <c r="A307" s="1" t="s">
        <v>539</v>
      </c>
      <c r="B307" s="1" t="s">
        <v>8</v>
      </c>
      <c r="C307" s="1" t="s">
        <v>17</v>
      </c>
      <c r="O307" s="1" t="s">
        <v>540</v>
      </c>
      <c r="AA307" s="1" t="str">
        <f t="shared" si="2"/>
        <v/>
      </c>
    </row>
    <row r="308" spans="1:27" x14ac:dyDescent="0.3">
      <c r="A308" s="1" t="s">
        <v>239</v>
      </c>
      <c r="B308" s="1" t="s">
        <v>234</v>
      </c>
      <c r="AA308" s="1" t="str">
        <f t="shared" si="2"/>
        <v/>
      </c>
    </row>
    <row r="309" spans="1:27" x14ac:dyDescent="0.3">
      <c r="A309" s="1" t="s">
        <v>180</v>
      </c>
      <c r="B309" s="1" t="s">
        <v>8</v>
      </c>
      <c r="C309" s="1" t="s">
        <v>19</v>
      </c>
      <c r="AA309" s="1" t="str">
        <f t="shared" si="2"/>
        <v/>
      </c>
    </row>
    <row r="310" spans="1:27" x14ac:dyDescent="0.3">
      <c r="A310" s="1" t="s">
        <v>245</v>
      </c>
      <c r="B310" s="1" t="s">
        <v>240</v>
      </c>
      <c r="AA310" s="1" t="str">
        <f t="shared" si="2"/>
        <v/>
      </c>
    </row>
    <row r="311" spans="1:27" x14ac:dyDescent="0.3">
      <c r="A311" s="1" t="s">
        <v>464</v>
      </c>
      <c r="B311" s="1" t="s">
        <v>458</v>
      </c>
      <c r="C311" s="1" t="s">
        <v>465</v>
      </c>
    </row>
    <row r="312" spans="1:27" x14ac:dyDescent="0.3">
      <c r="A312" s="1" t="s">
        <v>181</v>
      </c>
      <c r="B312" s="1" t="s">
        <v>8</v>
      </c>
      <c r="C312" s="1" t="s">
        <v>21</v>
      </c>
      <c r="AA312" s="1" t="str">
        <f t="shared" si="2"/>
        <v/>
      </c>
    </row>
    <row r="313" spans="1:27" x14ac:dyDescent="0.3">
      <c r="A313" s="1" t="s">
        <v>253</v>
      </c>
      <c r="B313" s="1" t="s">
        <v>247</v>
      </c>
      <c r="AA313" s="1" t="str">
        <f t="shared" si="2"/>
        <v/>
      </c>
    </row>
    <row r="314" spans="1:27" x14ac:dyDescent="0.3">
      <c r="A314" s="1" t="s">
        <v>182</v>
      </c>
      <c r="B314" s="1" t="s">
        <v>8</v>
      </c>
      <c r="C314" s="1" t="s">
        <v>23</v>
      </c>
      <c r="AA314" s="1" t="str">
        <f t="shared" si="2"/>
        <v/>
      </c>
    </row>
    <row r="315" spans="1:27" x14ac:dyDescent="0.3">
      <c r="A315" s="1" t="s">
        <v>260</v>
      </c>
      <c r="B315" s="1" t="s">
        <v>255</v>
      </c>
      <c r="AA315" s="1" t="str">
        <f t="shared" si="2"/>
        <v/>
      </c>
    </row>
    <row r="316" spans="1:27" x14ac:dyDescent="0.3">
      <c r="A316" s="1" t="s">
        <v>471</v>
      </c>
      <c r="B316" s="1" t="s">
        <v>466</v>
      </c>
    </row>
    <row r="317" spans="1:27" x14ac:dyDescent="0.3">
      <c r="A317" s="1" t="s">
        <v>183</v>
      </c>
      <c r="B317" s="1" t="s">
        <v>8</v>
      </c>
      <c r="C317" s="1" t="s">
        <v>25</v>
      </c>
      <c r="O317" s="1" t="s">
        <v>545</v>
      </c>
      <c r="AA317" s="1" t="str">
        <f t="shared" si="2"/>
        <v/>
      </c>
    </row>
    <row r="318" spans="1:27" x14ac:dyDescent="0.3">
      <c r="A318" s="1" t="s">
        <v>269</v>
      </c>
      <c r="B318" s="1" t="s">
        <v>262</v>
      </c>
      <c r="C318" s="1" t="s">
        <v>265</v>
      </c>
      <c r="AA318" s="1" t="str">
        <f t="shared" si="2"/>
        <v/>
      </c>
    </row>
    <row r="319" spans="1:27" x14ac:dyDescent="0.3">
      <c r="A319" s="1" t="s">
        <v>184</v>
      </c>
      <c r="B319" s="1" t="s">
        <v>8</v>
      </c>
      <c r="C319" s="1" t="s">
        <v>27</v>
      </c>
      <c r="AA319" s="1" t="str">
        <f t="shared" si="2"/>
        <v/>
      </c>
    </row>
    <row r="320" spans="1:27" x14ac:dyDescent="0.3">
      <c r="A320" s="1" t="s">
        <v>286</v>
      </c>
      <c r="B320" s="1" t="s">
        <v>278</v>
      </c>
      <c r="C320" s="1" t="s">
        <v>287</v>
      </c>
    </row>
    <row r="321" spans="1:27" x14ac:dyDescent="0.3">
      <c r="A321" s="1" t="s">
        <v>477</v>
      </c>
      <c r="B321" s="1" t="s">
        <v>472</v>
      </c>
    </row>
    <row r="322" spans="1:27" x14ac:dyDescent="0.3">
      <c r="A322" s="1" t="s">
        <v>185</v>
      </c>
      <c r="B322" s="1" t="s">
        <v>8</v>
      </c>
      <c r="C322" s="1" t="s">
        <v>29</v>
      </c>
      <c r="AA322" s="1" t="str">
        <f t="shared" si="2"/>
        <v/>
      </c>
    </row>
    <row r="323" spans="1:27" x14ac:dyDescent="0.3">
      <c r="A323" s="1" t="s">
        <v>296</v>
      </c>
      <c r="B323" s="1" t="s">
        <v>288</v>
      </c>
      <c r="C323" s="1" t="s">
        <v>297</v>
      </c>
    </row>
    <row r="324" spans="1:27" x14ac:dyDescent="0.3">
      <c r="A324" s="1" t="s">
        <v>186</v>
      </c>
      <c r="B324" s="1" t="s">
        <v>8</v>
      </c>
      <c r="C324" s="1" t="s">
        <v>31</v>
      </c>
      <c r="AA324" s="1" t="str">
        <f t="shared" si="2"/>
        <v/>
      </c>
    </row>
    <row r="325" spans="1:27" x14ac:dyDescent="0.3">
      <c r="A325" s="1" t="s">
        <v>304</v>
      </c>
      <c r="B325" s="1" t="s">
        <v>299</v>
      </c>
    </row>
    <row r="326" spans="1:27" x14ac:dyDescent="0.3">
      <c r="A326" s="1" t="s">
        <v>483</v>
      </c>
      <c r="B326" s="1" t="s">
        <v>478</v>
      </c>
    </row>
    <row r="327" spans="1:27" x14ac:dyDescent="0.3">
      <c r="A327" s="1" t="s">
        <v>187</v>
      </c>
      <c r="B327" s="1" t="s">
        <v>8</v>
      </c>
      <c r="C327" s="1" t="s">
        <v>33</v>
      </c>
      <c r="AA327" s="1" t="str">
        <f t="shared" si="2"/>
        <v/>
      </c>
    </row>
    <row r="328" spans="1:27" x14ac:dyDescent="0.3">
      <c r="A328" s="1" t="s">
        <v>310</v>
      </c>
      <c r="B328" s="1" t="s">
        <v>305</v>
      </c>
      <c r="C328" s="1" t="s">
        <v>311</v>
      </c>
    </row>
    <row r="329" spans="1:27" x14ac:dyDescent="0.3">
      <c r="A329" s="1" t="s">
        <v>188</v>
      </c>
      <c r="B329" s="1" t="s">
        <v>8</v>
      </c>
      <c r="C329" s="1" t="s">
        <v>35</v>
      </c>
      <c r="AA329" s="1" t="str">
        <f t="shared" si="2"/>
        <v/>
      </c>
    </row>
    <row r="330" spans="1:27" x14ac:dyDescent="0.3">
      <c r="A330" s="1" t="s">
        <v>317</v>
      </c>
      <c r="B330" s="1" t="s">
        <v>312</v>
      </c>
    </row>
    <row r="331" spans="1:27" x14ac:dyDescent="0.3">
      <c r="A331" s="1" t="s">
        <v>492</v>
      </c>
      <c r="B331" s="1" t="s">
        <v>491</v>
      </c>
    </row>
    <row r="332" spans="1:27" x14ac:dyDescent="0.3">
      <c r="A332" s="1" t="s">
        <v>189</v>
      </c>
      <c r="B332" s="1" t="s">
        <v>8</v>
      </c>
      <c r="C332" s="1" t="s">
        <v>37</v>
      </c>
      <c r="AA332" s="1" t="str">
        <f t="shared" si="2"/>
        <v/>
      </c>
    </row>
    <row r="333" spans="1:27" x14ac:dyDescent="0.3">
      <c r="A333" s="1" t="s">
        <v>331</v>
      </c>
      <c r="B333" s="1" t="s">
        <v>325</v>
      </c>
      <c r="O333" s="1" t="s">
        <v>540</v>
      </c>
    </row>
    <row r="334" spans="1:27" x14ac:dyDescent="0.3">
      <c r="A334" s="1" t="s">
        <v>190</v>
      </c>
      <c r="B334" s="1" t="s">
        <v>8</v>
      </c>
      <c r="C334" s="1" t="s">
        <v>39</v>
      </c>
      <c r="AA334" s="1" t="str">
        <f t="shared" si="2"/>
        <v/>
      </c>
    </row>
    <row r="335" spans="1:27" x14ac:dyDescent="0.3">
      <c r="A335" s="1" t="s">
        <v>337</v>
      </c>
      <c r="B335" s="1" t="s">
        <v>332</v>
      </c>
    </row>
    <row r="336" spans="1:27" x14ac:dyDescent="0.3">
      <c r="A336" s="1" t="s">
        <v>501</v>
      </c>
      <c r="B336" s="1" t="s">
        <v>500</v>
      </c>
    </row>
    <row r="337" spans="1:36" x14ac:dyDescent="0.3">
      <c r="A337" s="1" t="s">
        <v>191</v>
      </c>
      <c r="B337" s="1" t="s">
        <v>8</v>
      </c>
      <c r="C337" s="1" t="s">
        <v>41</v>
      </c>
      <c r="AA337" s="1" t="str">
        <f t="shared" si="2"/>
        <v/>
      </c>
    </row>
    <row r="338" spans="1:36" x14ac:dyDescent="0.3">
      <c r="A338" s="1" t="s">
        <v>343</v>
      </c>
      <c r="B338" s="1" t="s">
        <v>338</v>
      </c>
    </row>
    <row r="339" spans="1:36" x14ac:dyDescent="0.3">
      <c r="A339" s="1" t="s">
        <v>192</v>
      </c>
      <c r="B339" s="1" t="s">
        <v>8</v>
      </c>
      <c r="C339" s="1" t="s">
        <v>43</v>
      </c>
      <c r="AA339" s="1" t="str">
        <f t="shared" si="2"/>
        <v/>
      </c>
    </row>
    <row r="340" spans="1:36" x14ac:dyDescent="0.3">
      <c r="A340" s="1" t="s">
        <v>349</v>
      </c>
      <c r="B340" s="1" t="s">
        <v>344</v>
      </c>
      <c r="AJ340" s="1" t="s">
        <v>350</v>
      </c>
    </row>
    <row r="341" spans="1:36" x14ac:dyDescent="0.3">
      <c r="A341" s="1" t="s">
        <v>508</v>
      </c>
      <c r="B341" s="1" t="s">
        <v>503</v>
      </c>
    </row>
    <row r="342" spans="1:36" x14ac:dyDescent="0.3">
      <c r="A342" s="1" t="s">
        <v>193</v>
      </c>
      <c r="B342" s="1" t="s">
        <v>8</v>
      </c>
      <c r="C342" s="1" t="s">
        <v>45</v>
      </c>
      <c r="AA342" s="1" t="str">
        <f t="shared" si="2"/>
        <v/>
      </c>
    </row>
    <row r="343" spans="1:36" x14ac:dyDescent="0.3">
      <c r="A343" s="1" t="s">
        <v>358</v>
      </c>
      <c r="B343" s="1" t="s">
        <v>353</v>
      </c>
    </row>
    <row r="344" spans="1:36" x14ac:dyDescent="0.3">
      <c r="A344" s="1" t="s">
        <v>194</v>
      </c>
      <c r="B344" s="1" t="s">
        <v>8</v>
      </c>
      <c r="C344" s="1" t="s">
        <v>48</v>
      </c>
      <c r="AA344" s="1" t="str">
        <f t="shared" ref="AA344:AA419" si="3">IF(OR(Y344="", Z344=""), "", Y344+Z344)</f>
        <v/>
      </c>
    </row>
    <row r="345" spans="1:36" x14ac:dyDescent="0.3">
      <c r="A345" s="1" t="s">
        <v>364</v>
      </c>
      <c r="B345" s="1" t="s">
        <v>359</v>
      </c>
    </row>
    <row r="346" spans="1:36" x14ac:dyDescent="0.3">
      <c r="A346" s="1" t="s">
        <v>195</v>
      </c>
      <c r="B346" s="1" t="s">
        <v>8</v>
      </c>
      <c r="C346" s="1" t="s">
        <v>50</v>
      </c>
      <c r="AA346" s="1" t="str">
        <f t="shared" si="3"/>
        <v/>
      </c>
    </row>
    <row r="347" spans="1:36" x14ac:dyDescent="0.3">
      <c r="A347" s="1" t="s">
        <v>370</v>
      </c>
      <c r="B347" s="1" t="s">
        <v>365</v>
      </c>
    </row>
    <row r="348" spans="1:36" x14ac:dyDescent="0.3">
      <c r="A348" s="1" t="s">
        <v>196</v>
      </c>
      <c r="B348" s="1" t="s">
        <v>8</v>
      </c>
      <c r="C348" s="1" t="s">
        <v>52</v>
      </c>
      <c r="AA348" s="1" t="str">
        <f t="shared" si="3"/>
        <v/>
      </c>
    </row>
    <row r="349" spans="1:36" x14ac:dyDescent="0.3">
      <c r="A349" s="1" t="s">
        <v>376</v>
      </c>
      <c r="B349" s="1" t="s">
        <v>371</v>
      </c>
    </row>
    <row r="350" spans="1:36" x14ac:dyDescent="0.3">
      <c r="A350" s="1" t="s">
        <v>197</v>
      </c>
      <c r="B350" s="1" t="s">
        <v>8</v>
      </c>
      <c r="C350" s="1" t="s">
        <v>54</v>
      </c>
      <c r="AA350" s="1" t="str">
        <f t="shared" si="3"/>
        <v/>
      </c>
    </row>
    <row r="351" spans="1:36" x14ac:dyDescent="0.3">
      <c r="A351" s="1" t="s">
        <v>382</v>
      </c>
      <c r="B351" s="1" t="s">
        <v>377</v>
      </c>
      <c r="C351" s="1" t="s">
        <v>387</v>
      </c>
      <c r="AJ351" s="1" t="s">
        <v>383</v>
      </c>
    </row>
    <row r="352" spans="1:36" x14ac:dyDescent="0.3">
      <c r="A352" s="1" t="s">
        <v>198</v>
      </c>
      <c r="B352" s="1" t="s">
        <v>8</v>
      </c>
      <c r="C352" s="1" t="s">
        <v>56</v>
      </c>
      <c r="AA352" s="1" t="str">
        <f t="shared" si="3"/>
        <v/>
      </c>
    </row>
    <row r="353" spans="1:27" x14ac:dyDescent="0.3">
      <c r="A353" s="1" t="s">
        <v>393</v>
      </c>
      <c r="B353" s="1" t="s">
        <v>388</v>
      </c>
    </row>
    <row r="354" spans="1:27" x14ac:dyDescent="0.3">
      <c r="A354" s="1" t="s">
        <v>199</v>
      </c>
      <c r="B354" s="1" t="s">
        <v>8</v>
      </c>
      <c r="C354" s="1" t="s">
        <v>58</v>
      </c>
      <c r="AA354" s="1" t="str">
        <f t="shared" si="3"/>
        <v/>
      </c>
    </row>
    <row r="355" spans="1:27" x14ac:dyDescent="0.3">
      <c r="A355" s="1" t="s">
        <v>399</v>
      </c>
      <c r="B355" s="1" t="s">
        <v>394</v>
      </c>
    </row>
    <row r="356" spans="1:27" x14ac:dyDescent="0.3">
      <c r="A356" s="1" t="s">
        <v>200</v>
      </c>
      <c r="B356" s="1" t="s">
        <v>8</v>
      </c>
      <c r="C356" s="1" t="s">
        <v>60</v>
      </c>
      <c r="AA356" s="1" t="str">
        <f t="shared" si="3"/>
        <v/>
      </c>
    </row>
    <row r="357" spans="1:27" x14ac:dyDescent="0.3">
      <c r="A357" s="1" t="s">
        <v>405</v>
      </c>
      <c r="B357" s="1" t="s">
        <v>400</v>
      </c>
    </row>
    <row r="358" spans="1:27" x14ac:dyDescent="0.3">
      <c r="A358" s="1" t="s">
        <v>201</v>
      </c>
      <c r="B358" s="1" t="s">
        <v>8</v>
      </c>
      <c r="C358" s="1" t="s">
        <v>62</v>
      </c>
      <c r="AA358" s="1" t="str">
        <f t="shared" si="3"/>
        <v/>
      </c>
    </row>
    <row r="359" spans="1:27" x14ac:dyDescent="0.3">
      <c r="A359" s="1" t="s">
        <v>411</v>
      </c>
      <c r="B359" s="1" t="s">
        <v>406</v>
      </c>
    </row>
    <row r="360" spans="1:27" x14ac:dyDescent="0.3">
      <c r="A360" s="1" t="s">
        <v>202</v>
      </c>
      <c r="B360" s="1" t="s">
        <v>8</v>
      </c>
      <c r="C360" s="1" t="s">
        <v>64</v>
      </c>
      <c r="AA360" s="1" t="str">
        <f t="shared" si="3"/>
        <v/>
      </c>
    </row>
    <row r="361" spans="1:27" x14ac:dyDescent="0.3">
      <c r="A361" s="1" t="s">
        <v>419</v>
      </c>
      <c r="B361" s="1" t="s">
        <v>414</v>
      </c>
    </row>
    <row r="362" spans="1:27" x14ac:dyDescent="0.3">
      <c r="A362" s="1" t="s">
        <v>203</v>
      </c>
      <c r="B362" s="1" t="s">
        <v>8</v>
      </c>
      <c r="C362" s="1" t="s">
        <v>67</v>
      </c>
      <c r="AA362" s="1" t="str">
        <f t="shared" si="3"/>
        <v/>
      </c>
    </row>
    <row r="363" spans="1:27" x14ac:dyDescent="0.3">
      <c r="A363" s="1" t="s">
        <v>425</v>
      </c>
      <c r="B363" s="1" t="s">
        <v>420</v>
      </c>
    </row>
    <row r="364" spans="1:27" x14ac:dyDescent="0.3">
      <c r="A364" s="1" t="s">
        <v>204</v>
      </c>
      <c r="B364" s="1" t="s">
        <v>8</v>
      </c>
      <c r="C364" s="1" t="s">
        <v>70</v>
      </c>
      <c r="AA364" s="1" t="str">
        <f t="shared" si="3"/>
        <v/>
      </c>
    </row>
    <row r="365" spans="1:27" x14ac:dyDescent="0.3">
      <c r="A365" s="1" t="s">
        <v>435</v>
      </c>
      <c r="B365" s="1" t="s">
        <v>432</v>
      </c>
    </row>
    <row r="366" spans="1:27" x14ac:dyDescent="0.3">
      <c r="A366" s="1" t="s">
        <v>205</v>
      </c>
      <c r="B366" s="1" t="s">
        <v>8</v>
      </c>
      <c r="C366" s="1" t="s">
        <v>141</v>
      </c>
      <c r="AA366" s="1" t="str">
        <f t="shared" si="3"/>
        <v/>
      </c>
    </row>
    <row r="367" spans="1:27" x14ac:dyDescent="0.3">
      <c r="A367" s="1" t="s">
        <v>441</v>
      </c>
      <c r="B367" s="1" t="s">
        <v>436</v>
      </c>
    </row>
    <row r="368" spans="1:27" x14ac:dyDescent="0.3">
      <c r="A368" s="1" t="s">
        <v>206</v>
      </c>
      <c r="B368" s="1" t="s">
        <v>8</v>
      </c>
      <c r="C368" s="1" t="s">
        <v>9</v>
      </c>
      <c r="AA368" s="1" t="str">
        <f t="shared" si="3"/>
        <v/>
      </c>
    </row>
    <row r="369" spans="27:27" x14ac:dyDescent="0.3">
      <c r="AA369" s="1" t="str">
        <f t="shared" si="3"/>
        <v/>
      </c>
    </row>
    <row r="370" spans="27:27" x14ac:dyDescent="0.3">
      <c r="AA370" s="1" t="str">
        <f t="shared" si="3"/>
        <v/>
      </c>
    </row>
    <row r="371" spans="27:27" x14ac:dyDescent="0.3">
      <c r="AA371" s="1" t="str">
        <f t="shared" si="3"/>
        <v/>
      </c>
    </row>
    <row r="372" spans="27:27" x14ac:dyDescent="0.3">
      <c r="AA372" s="1" t="str">
        <f t="shared" si="3"/>
        <v/>
      </c>
    </row>
    <row r="373" spans="27:27" x14ac:dyDescent="0.3">
      <c r="AA373" s="1" t="str">
        <f t="shared" si="3"/>
        <v/>
      </c>
    </row>
    <row r="374" spans="27:27" x14ac:dyDescent="0.3">
      <c r="AA374" s="1" t="str">
        <f t="shared" si="3"/>
        <v/>
      </c>
    </row>
    <row r="375" spans="27:27" x14ac:dyDescent="0.3">
      <c r="AA375" s="1" t="str">
        <f t="shared" si="3"/>
        <v/>
      </c>
    </row>
    <row r="376" spans="27:27" x14ac:dyDescent="0.3">
      <c r="AA376" s="1" t="str">
        <f t="shared" si="3"/>
        <v/>
      </c>
    </row>
    <row r="377" spans="27:27" x14ac:dyDescent="0.3">
      <c r="AA377" s="1" t="str">
        <f t="shared" si="3"/>
        <v/>
      </c>
    </row>
    <row r="378" spans="27:27" x14ac:dyDescent="0.3">
      <c r="AA378" s="1" t="str">
        <f t="shared" si="3"/>
        <v/>
      </c>
    </row>
    <row r="379" spans="27:27" x14ac:dyDescent="0.3">
      <c r="AA379" s="1" t="str">
        <f t="shared" si="3"/>
        <v/>
      </c>
    </row>
    <row r="380" spans="27:27" x14ac:dyDescent="0.3">
      <c r="AA380" s="1" t="str">
        <f t="shared" si="3"/>
        <v/>
      </c>
    </row>
    <row r="381" spans="27:27" x14ac:dyDescent="0.3">
      <c r="AA381" s="1" t="str">
        <f t="shared" si="3"/>
        <v/>
      </c>
    </row>
    <row r="382" spans="27:27" x14ac:dyDescent="0.3">
      <c r="AA382" s="1" t="str">
        <f t="shared" si="3"/>
        <v/>
      </c>
    </row>
    <row r="383" spans="27:27" x14ac:dyDescent="0.3">
      <c r="AA383" s="1" t="str">
        <f t="shared" si="3"/>
        <v/>
      </c>
    </row>
    <row r="384" spans="27:27" x14ac:dyDescent="0.3">
      <c r="AA384" s="1" t="str">
        <f t="shared" si="3"/>
        <v/>
      </c>
    </row>
    <row r="385" spans="27:27" x14ac:dyDescent="0.3">
      <c r="AA385" s="1" t="str">
        <f t="shared" si="3"/>
        <v/>
      </c>
    </row>
    <row r="386" spans="27:27" x14ac:dyDescent="0.3">
      <c r="AA386" s="1" t="str">
        <f t="shared" si="3"/>
        <v/>
      </c>
    </row>
    <row r="387" spans="27:27" x14ac:dyDescent="0.3">
      <c r="AA387" s="1" t="str">
        <f t="shared" si="3"/>
        <v/>
      </c>
    </row>
    <row r="388" spans="27:27" x14ac:dyDescent="0.3">
      <c r="AA388" s="1" t="str">
        <f t="shared" si="3"/>
        <v/>
      </c>
    </row>
    <row r="389" spans="27:27" x14ac:dyDescent="0.3">
      <c r="AA389" s="1" t="str">
        <f t="shared" si="3"/>
        <v/>
      </c>
    </row>
    <row r="390" spans="27:27" x14ac:dyDescent="0.3">
      <c r="AA390" s="1" t="str">
        <f t="shared" si="3"/>
        <v/>
      </c>
    </row>
    <row r="391" spans="27:27" x14ac:dyDescent="0.3">
      <c r="AA391" s="1" t="str">
        <f t="shared" si="3"/>
        <v/>
      </c>
    </row>
    <row r="392" spans="27:27" x14ac:dyDescent="0.3">
      <c r="AA392" s="1" t="str">
        <f t="shared" si="3"/>
        <v/>
      </c>
    </row>
    <row r="393" spans="27:27" x14ac:dyDescent="0.3">
      <c r="AA393" s="1" t="str">
        <f t="shared" si="3"/>
        <v/>
      </c>
    </row>
    <row r="394" spans="27:27" x14ac:dyDescent="0.3">
      <c r="AA394" s="1" t="str">
        <f t="shared" si="3"/>
        <v/>
      </c>
    </row>
    <row r="395" spans="27:27" x14ac:dyDescent="0.3">
      <c r="AA395" s="1" t="str">
        <f t="shared" si="3"/>
        <v/>
      </c>
    </row>
    <row r="396" spans="27:27" x14ac:dyDescent="0.3">
      <c r="AA396" s="1" t="str">
        <f t="shared" si="3"/>
        <v/>
      </c>
    </row>
    <row r="397" spans="27:27" x14ac:dyDescent="0.3">
      <c r="AA397" s="1" t="str">
        <f t="shared" si="3"/>
        <v/>
      </c>
    </row>
    <row r="398" spans="27:27" x14ac:dyDescent="0.3">
      <c r="AA398" s="1" t="str">
        <f t="shared" si="3"/>
        <v/>
      </c>
    </row>
    <row r="399" spans="27:27" x14ac:dyDescent="0.3">
      <c r="AA399" s="1" t="str">
        <f t="shared" si="3"/>
        <v/>
      </c>
    </row>
    <row r="400" spans="27:27" x14ac:dyDescent="0.3">
      <c r="AA400" s="1" t="str">
        <f t="shared" si="3"/>
        <v/>
      </c>
    </row>
    <row r="401" spans="27:27" x14ac:dyDescent="0.3">
      <c r="AA401" s="1" t="str">
        <f t="shared" si="3"/>
        <v/>
      </c>
    </row>
    <row r="402" spans="27:27" x14ac:dyDescent="0.3">
      <c r="AA402" s="1" t="str">
        <f t="shared" si="3"/>
        <v/>
      </c>
    </row>
    <row r="403" spans="27:27" x14ac:dyDescent="0.3">
      <c r="AA403" s="1" t="str">
        <f t="shared" si="3"/>
        <v/>
      </c>
    </row>
    <row r="404" spans="27:27" x14ac:dyDescent="0.3">
      <c r="AA404" s="1" t="str">
        <f t="shared" si="3"/>
        <v/>
      </c>
    </row>
    <row r="405" spans="27:27" x14ac:dyDescent="0.3">
      <c r="AA405" s="1" t="str">
        <f t="shared" si="3"/>
        <v/>
      </c>
    </row>
    <row r="406" spans="27:27" x14ac:dyDescent="0.3">
      <c r="AA406" s="1" t="str">
        <f t="shared" si="3"/>
        <v/>
      </c>
    </row>
    <row r="407" spans="27:27" x14ac:dyDescent="0.3">
      <c r="AA407" s="1" t="str">
        <f t="shared" si="3"/>
        <v/>
      </c>
    </row>
    <row r="408" spans="27:27" x14ac:dyDescent="0.3">
      <c r="AA408" s="1" t="str">
        <f t="shared" si="3"/>
        <v/>
      </c>
    </row>
    <row r="409" spans="27:27" x14ac:dyDescent="0.3">
      <c r="AA409" s="1" t="str">
        <f t="shared" si="3"/>
        <v/>
      </c>
    </row>
    <row r="410" spans="27:27" x14ac:dyDescent="0.3">
      <c r="AA410" s="1" t="str">
        <f t="shared" si="3"/>
        <v/>
      </c>
    </row>
    <row r="411" spans="27:27" x14ac:dyDescent="0.3">
      <c r="AA411" s="1" t="str">
        <f t="shared" si="3"/>
        <v/>
      </c>
    </row>
    <row r="412" spans="27:27" x14ac:dyDescent="0.3">
      <c r="AA412" s="1" t="str">
        <f t="shared" si="3"/>
        <v/>
      </c>
    </row>
    <row r="413" spans="27:27" x14ac:dyDescent="0.3">
      <c r="AA413" s="1" t="str">
        <f t="shared" si="3"/>
        <v/>
      </c>
    </row>
    <row r="414" spans="27:27" x14ac:dyDescent="0.3">
      <c r="AA414" s="1" t="str">
        <f t="shared" si="3"/>
        <v/>
      </c>
    </row>
    <row r="415" spans="27:27" x14ac:dyDescent="0.3">
      <c r="AA415" s="1" t="str">
        <f t="shared" si="3"/>
        <v/>
      </c>
    </row>
    <row r="416" spans="27:27" x14ac:dyDescent="0.3">
      <c r="AA416" s="1" t="str">
        <f t="shared" si="3"/>
        <v/>
      </c>
    </row>
    <row r="417" spans="27:27" x14ac:dyDescent="0.3">
      <c r="AA417" s="1" t="str">
        <f t="shared" si="3"/>
        <v/>
      </c>
    </row>
    <row r="418" spans="27:27" x14ac:dyDescent="0.3">
      <c r="AA418" s="1" t="str">
        <f t="shared" si="3"/>
        <v/>
      </c>
    </row>
    <row r="419" spans="27:27" x14ac:dyDescent="0.3">
      <c r="AA419" s="1" t="str">
        <f t="shared" si="3"/>
        <v/>
      </c>
    </row>
    <row r="420" spans="27:27" x14ac:dyDescent="0.3">
      <c r="AA420" s="1" t="str">
        <f t="shared" ref="AA420:AA451" si="4">IF(OR(Y420="", Z420=""), "", Y420+Z420)</f>
        <v/>
      </c>
    </row>
    <row r="421" spans="27:27" x14ac:dyDescent="0.3">
      <c r="AA421" s="1" t="str">
        <f t="shared" si="4"/>
        <v/>
      </c>
    </row>
    <row r="422" spans="27:27" x14ac:dyDescent="0.3">
      <c r="AA422" s="1" t="str">
        <f t="shared" si="4"/>
        <v/>
      </c>
    </row>
    <row r="423" spans="27:27" x14ac:dyDescent="0.3">
      <c r="AA423" s="1" t="str">
        <f t="shared" si="4"/>
        <v/>
      </c>
    </row>
    <row r="424" spans="27:27" x14ac:dyDescent="0.3">
      <c r="AA424" s="1" t="str">
        <f t="shared" si="4"/>
        <v/>
      </c>
    </row>
    <row r="425" spans="27:27" x14ac:dyDescent="0.3">
      <c r="AA425" s="1" t="str">
        <f t="shared" si="4"/>
        <v/>
      </c>
    </row>
    <row r="426" spans="27:27" x14ac:dyDescent="0.3">
      <c r="AA426" s="1" t="str">
        <f t="shared" si="4"/>
        <v/>
      </c>
    </row>
    <row r="427" spans="27:27" x14ac:dyDescent="0.3">
      <c r="AA427" s="1" t="str">
        <f t="shared" si="4"/>
        <v/>
      </c>
    </row>
    <row r="428" spans="27:27" x14ac:dyDescent="0.3">
      <c r="AA428" s="1" t="str">
        <f t="shared" si="4"/>
        <v/>
      </c>
    </row>
    <row r="429" spans="27:27" x14ac:dyDescent="0.3">
      <c r="AA429" s="1" t="str">
        <f t="shared" si="4"/>
        <v/>
      </c>
    </row>
    <row r="430" spans="27:27" x14ac:dyDescent="0.3">
      <c r="AA430" s="1" t="str">
        <f t="shared" si="4"/>
        <v/>
      </c>
    </row>
    <row r="431" spans="27:27" x14ac:dyDescent="0.3">
      <c r="AA431" s="1" t="str">
        <f t="shared" si="4"/>
        <v/>
      </c>
    </row>
    <row r="432" spans="27:27" x14ac:dyDescent="0.3">
      <c r="AA432" s="1" t="str">
        <f t="shared" si="4"/>
        <v/>
      </c>
    </row>
    <row r="433" spans="27:27" x14ac:dyDescent="0.3">
      <c r="AA433" s="1" t="str">
        <f t="shared" si="4"/>
        <v/>
      </c>
    </row>
    <row r="434" spans="27:27" x14ac:dyDescent="0.3">
      <c r="AA434" s="1" t="str">
        <f t="shared" si="4"/>
        <v/>
      </c>
    </row>
    <row r="435" spans="27:27" x14ac:dyDescent="0.3">
      <c r="AA435" s="1" t="str">
        <f t="shared" si="4"/>
        <v/>
      </c>
    </row>
    <row r="436" spans="27:27" x14ac:dyDescent="0.3">
      <c r="AA436" s="1" t="str">
        <f t="shared" si="4"/>
        <v/>
      </c>
    </row>
    <row r="437" spans="27:27" x14ac:dyDescent="0.3">
      <c r="AA437" s="1" t="str">
        <f t="shared" si="4"/>
        <v/>
      </c>
    </row>
    <row r="438" spans="27:27" x14ac:dyDescent="0.3">
      <c r="AA438" s="1" t="str">
        <f t="shared" si="4"/>
        <v/>
      </c>
    </row>
    <row r="439" spans="27:27" x14ac:dyDescent="0.3">
      <c r="AA439" s="1" t="str">
        <f t="shared" si="4"/>
        <v/>
      </c>
    </row>
    <row r="440" spans="27:27" x14ac:dyDescent="0.3">
      <c r="AA440" s="1" t="str">
        <f t="shared" si="4"/>
        <v/>
      </c>
    </row>
    <row r="441" spans="27:27" x14ac:dyDescent="0.3">
      <c r="AA441" s="1" t="str">
        <f t="shared" si="4"/>
        <v/>
      </c>
    </row>
    <row r="442" spans="27:27" x14ac:dyDescent="0.3">
      <c r="AA442" s="1" t="str">
        <f t="shared" si="4"/>
        <v/>
      </c>
    </row>
    <row r="443" spans="27:27" x14ac:dyDescent="0.3">
      <c r="AA443" s="1" t="str">
        <f t="shared" si="4"/>
        <v/>
      </c>
    </row>
    <row r="444" spans="27:27" x14ac:dyDescent="0.3">
      <c r="AA444" s="1" t="str">
        <f t="shared" si="4"/>
        <v/>
      </c>
    </row>
    <row r="445" spans="27:27" x14ac:dyDescent="0.3">
      <c r="AA445" s="1" t="str">
        <f t="shared" si="4"/>
        <v/>
      </c>
    </row>
    <row r="446" spans="27:27" x14ac:dyDescent="0.3">
      <c r="AA446" s="1" t="str">
        <f t="shared" si="4"/>
        <v/>
      </c>
    </row>
    <row r="447" spans="27:27" x14ac:dyDescent="0.3">
      <c r="AA447" s="1" t="str">
        <f t="shared" si="4"/>
        <v/>
      </c>
    </row>
    <row r="448" spans="27:27" x14ac:dyDescent="0.3">
      <c r="AA448" s="1" t="str">
        <f t="shared" si="4"/>
        <v/>
      </c>
    </row>
    <row r="449" spans="27:27" x14ac:dyDescent="0.3">
      <c r="AA449" s="1" t="str">
        <f t="shared" si="4"/>
        <v/>
      </c>
    </row>
    <row r="450" spans="27:27" x14ac:dyDescent="0.3">
      <c r="AA450" s="1" t="str">
        <f t="shared" si="4"/>
        <v/>
      </c>
    </row>
    <row r="451" spans="27:27" x14ac:dyDescent="0.3">
      <c r="AA451" s="1" t="str">
        <f t="shared" si="4"/>
        <v/>
      </c>
    </row>
  </sheetData>
  <autoFilter ref="A1:C400" xr:uid="{BF51FA13-DB0D-497A-B6C5-796636F8E018}"/>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B1569-B646-46E0-8D8F-E081EB96DBE3}">
  <dimension ref="A1:C290"/>
  <sheetViews>
    <sheetView topLeftCell="A13" workbookViewId="0">
      <selection activeCell="A36" sqref="A36"/>
    </sheetView>
  </sheetViews>
  <sheetFormatPr defaultRowHeight="14.4" x14ac:dyDescent="0.3"/>
  <cols>
    <col min="1" max="1" width="23.109375" style="1" bestFit="1" customWidth="1"/>
    <col min="2" max="2" width="10.33203125" style="1" bestFit="1" customWidth="1"/>
    <col min="3" max="3" width="36.21875" style="1" bestFit="1" customWidth="1"/>
    <col min="4" max="16384" width="8.88671875" style="1"/>
  </cols>
  <sheetData>
    <row r="1" spans="1:3" x14ac:dyDescent="0.3">
      <c r="A1" s="1" t="s">
        <v>0</v>
      </c>
      <c r="B1" s="1" t="s">
        <v>2</v>
      </c>
      <c r="C1" s="1" t="s">
        <v>3</v>
      </c>
    </row>
    <row r="2" spans="1:3" x14ac:dyDescent="0.3">
      <c r="A2" s="1" t="str">
        <f>'City Introduction'!A2</f>
        <v>Kanpur</v>
      </c>
      <c r="B2" s="1" t="str">
        <f>'City Introduction'!B2</f>
        <v>India</v>
      </c>
      <c r="C2" s="1" t="str">
        <f>'City Introduction'!C2</f>
        <v>Uttar Pradesh</v>
      </c>
    </row>
    <row r="3" spans="1:3" x14ac:dyDescent="0.3">
      <c r="A3" s="1" t="str">
        <f>'City Introduction'!A3</f>
        <v>Chongqing</v>
      </c>
      <c r="B3" s="1" t="str">
        <f>'City Introduction'!B3</f>
        <v>China</v>
      </c>
      <c r="C3" s="1" t="str">
        <f>'City Introduction'!C3</f>
        <v>Federal</v>
      </c>
    </row>
    <row r="4" spans="1:3" x14ac:dyDescent="0.3">
      <c r="A4" s="1" t="str">
        <f>'City Introduction'!A4</f>
        <v>Patna</v>
      </c>
      <c r="B4" s="1" t="str">
        <f>'City Introduction'!B4</f>
        <v>India</v>
      </c>
      <c r="C4" s="1" t="str">
        <f>'City Introduction'!C4</f>
        <v>Bihar</v>
      </c>
    </row>
    <row r="5" spans="1:3" x14ac:dyDescent="0.3">
      <c r="A5" s="1" t="str">
        <f>'City Introduction'!A5</f>
        <v>New York City</v>
      </c>
      <c r="B5" s="1" t="str">
        <f>'City Introduction'!B5</f>
        <v>USA</v>
      </c>
      <c r="C5" s="1" t="str">
        <f>'City Introduction'!C5</f>
        <v>New York</v>
      </c>
    </row>
    <row r="6" spans="1:3" x14ac:dyDescent="0.3">
      <c r="A6" s="1" t="str">
        <f>'City Introduction'!A7</f>
        <v>Mumbai</v>
      </c>
      <c r="B6" s="1" t="str">
        <f>'City Introduction'!B7</f>
        <v>India</v>
      </c>
      <c r="C6" s="1" t="str">
        <f>'City Introduction'!C7</f>
        <v>Maharashtra</v>
      </c>
    </row>
    <row r="7" spans="1:3" x14ac:dyDescent="0.3">
      <c r="A7" s="1" t="str">
        <f>'City Introduction'!A8</f>
        <v>Jakarta</v>
      </c>
      <c r="B7" s="1" t="str">
        <f>'City Introduction'!B8</f>
        <v>Indonesia</v>
      </c>
      <c r="C7" s="1">
        <f>'City Introduction'!C8</f>
        <v>0</v>
      </c>
    </row>
    <row r="8" spans="1:3" x14ac:dyDescent="0.3">
      <c r="A8" s="1" t="str">
        <f>'City Introduction'!A9</f>
        <v>Kolkata</v>
      </c>
      <c r="B8" s="1" t="str">
        <f>'City Introduction'!B9</f>
        <v>India</v>
      </c>
      <c r="C8" s="1" t="str">
        <f>'City Introduction'!C9</f>
        <v>West Bengal</v>
      </c>
    </row>
    <row r="9" spans="1:3" x14ac:dyDescent="0.3">
      <c r="A9" s="1" t="str">
        <f>'City Introduction'!A10</f>
        <v>Lagos</v>
      </c>
      <c r="B9" s="1" t="str">
        <f>'City Introduction'!B10</f>
        <v>Nigeria</v>
      </c>
      <c r="C9" s="1">
        <f>'City Introduction'!C10</f>
        <v>0</v>
      </c>
    </row>
    <row r="10" spans="1:3" x14ac:dyDescent="0.3">
      <c r="A10" s="1" t="str">
        <f>'City Introduction'!A11</f>
        <v>Indore</v>
      </c>
      <c r="B10" s="1" t="str">
        <f>'City Introduction'!B11</f>
        <v>India</v>
      </c>
      <c r="C10" s="1" t="str">
        <f>'City Introduction'!C11</f>
        <v>Madhya Pradesh</v>
      </c>
    </row>
    <row r="11" spans="1:3" x14ac:dyDescent="0.3">
      <c r="A11" s="1" t="str">
        <f>'City Introduction'!A12</f>
        <v>Sao Paulo</v>
      </c>
      <c r="B11" s="1" t="str">
        <f>'City Introduction'!B12</f>
        <v>Brazil</v>
      </c>
      <c r="C11" s="1">
        <f>'City Introduction'!C12</f>
        <v>0</v>
      </c>
    </row>
    <row r="12" spans="1:3" x14ac:dyDescent="0.3">
      <c r="A12" s="1" t="str">
        <f>'City Introduction'!A14</f>
        <v>Jaipur</v>
      </c>
      <c r="B12" s="1" t="str">
        <f>'City Introduction'!B14</f>
        <v>India</v>
      </c>
      <c r="C12" s="1" t="str">
        <f>'City Introduction'!C14</f>
        <v>Rajasthan</v>
      </c>
    </row>
    <row r="13" spans="1:3" x14ac:dyDescent="0.3">
      <c r="A13" s="1" t="str">
        <f>'City Introduction'!A15</f>
        <v>Dhaka</v>
      </c>
      <c r="B13" s="1" t="str">
        <f>'City Introduction'!B15</f>
        <v>Bangladesh</v>
      </c>
      <c r="C13" s="1">
        <f>'City Introduction'!C15</f>
        <v>0</v>
      </c>
    </row>
    <row r="14" spans="1:3" x14ac:dyDescent="0.3">
      <c r="A14" s="1" t="str">
        <f>'City Introduction'!A16</f>
        <v>Chennai</v>
      </c>
      <c r="B14" s="1" t="str">
        <f>'City Introduction'!B16</f>
        <v>India</v>
      </c>
      <c r="C14" s="1" t="str">
        <f>'City Introduction'!C16</f>
        <v>Tamil Nadu</v>
      </c>
    </row>
    <row r="15" spans="1:3" x14ac:dyDescent="0.3">
      <c r="A15" s="1" t="str">
        <f>'City Introduction'!A17</f>
        <v>Moscow</v>
      </c>
      <c r="B15" s="1" t="str">
        <f>'City Introduction'!B17</f>
        <v>Russia</v>
      </c>
      <c r="C15" s="1">
        <f>'City Introduction'!C17</f>
        <v>0</v>
      </c>
    </row>
    <row r="16" spans="1:3" x14ac:dyDescent="0.3">
      <c r="A16" s="1" t="str">
        <f>'City Introduction'!A19</f>
        <v>Ahmedabad</v>
      </c>
      <c r="B16" s="1" t="str">
        <f>'City Introduction'!B19</f>
        <v>India</v>
      </c>
      <c r="C16" s="1" t="str">
        <f>'City Introduction'!C19</f>
        <v>Gujarat</v>
      </c>
    </row>
    <row r="17" spans="1:3" x14ac:dyDescent="0.3">
      <c r="A17" s="1" t="str">
        <f>'City Introduction'!A20</f>
        <v>Addis Ababa</v>
      </c>
      <c r="B17" s="1" t="str">
        <f>'City Introduction'!B20</f>
        <v>Ethiopia</v>
      </c>
      <c r="C17" s="1">
        <f>'City Introduction'!C20</f>
        <v>0</v>
      </c>
    </row>
    <row r="18" spans="1:3" x14ac:dyDescent="0.3">
      <c r="A18" s="1" t="str">
        <f>'City Introduction'!A21</f>
        <v>Bengaluru</v>
      </c>
      <c r="B18" s="1" t="str">
        <f>'City Introduction'!B21</f>
        <v>India</v>
      </c>
      <c r="C18" s="1" t="str">
        <f>'City Introduction'!C21</f>
        <v>Karnataka</v>
      </c>
    </row>
    <row r="19" spans="1:3" x14ac:dyDescent="0.3">
      <c r="A19" s="1" t="str">
        <f>'City Introduction'!A22</f>
        <v>Mexico City</v>
      </c>
      <c r="B19" s="1" t="str">
        <f>'City Introduction'!B22</f>
        <v>Mexico</v>
      </c>
      <c r="C19" s="1">
        <f>'City Introduction'!C22</f>
        <v>0</v>
      </c>
    </row>
    <row r="20" spans="1:3" x14ac:dyDescent="0.3">
      <c r="A20" s="1" t="str">
        <f>'City Introduction'!A24</f>
        <v>Visakhapatnam</v>
      </c>
      <c r="B20" s="1" t="str">
        <f>'City Introduction'!B24</f>
        <v>India</v>
      </c>
      <c r="C20" s="1" t="str">
        <f>'City Introduction'!C24</f>
        <v>Andhra Pradesh</v>
      </c>
    </row>
    <row r="21" spans="1:3" x14ac:dyDescent="0.3">
      <c r="A21" s="1" t="str">
        <f>'City Introduction'!A25</f>
        <v>Tokyo</v>
      </c>
      <c r="B21" s="1" t="str">
        <f>'City Introduction'!B25</f>
        <v>Japan</v>
      </c>
      <c r="C21" s="1" t="str">
        <f>'City Introduction'!C25</f>
        <v>Tokya</v>
      </c>
    </row>
    <row r="22" spans="1:3" x14ac:dyDescent="0.3">
      <c r="A22" s="1" t="str">
        <f>'City Introduction'!A26</f>
        <v>Bhubaneshwar</v>
      </c>
      <c r="B22" s="1" t="str">
        <f>'City Introduction'!B26</f>
        <v>India</v>
      </c>
      <c r="C22" s="1" t="str">
        <f>'City Introduction'!C26</f>
        <v>Odisha</v>
      </c>
    </row>
    <row r="23" spans="1:3" x14ac:dyDescent="0.3">
      <c r="A23" s="1" t="str">
        <f>'City Introduction'!A27</f>
        <v>Cairo</v>
      </c>
      <c r="B23" s="1" t="str">
        <f>'City Introduction'!B27</f>
        <v>Egypt</v>
      </c>
      <c r="C23" s="1">
        <f>'City Introduction'!C27</f>
        <v>0</v>
      </c>
    </row>
    <row r="24" spans="1:3" x14ac:dyDescent="0.3">
      <c r="A24" s="1" t="str">
        <f>'City Introduction'!A29</f>
        <v>Hyderabad</v>
      </c>
      <c r="B24" s="1" t="str">
        <f>'City Introduction'!B29</f>
        <v>India</v>
      </c>
      <c r="C24" s="1" t="str">
        <f>'City Introduction'!C29</f>
        <v>Telangana</v>
      </c>
    </row>
    <row r="25" spans="1:3" x14ac:dyDescent="0.3">
      <c r="A25" s="1" t="str">
        <f>'City Introduction'!A30</f>
        <v>Quezon City</v>
      </c>
      <c r="B25" s="1" t="str">
        <f>'City Introduction'!B30</f>
        <v>Philippines</v>
      </c>
      <c r="C25" s="1" t="str">
        <f>'City Introduction'!C30</f>
        <v>Federal</v>
      </c>
    </row>
    <row r="26" spans="1:3" x14ac:dyDescent="0.3">
      <c r="A26" s="1" t="str">
        <f>'City Introduction'!A31</f>
        <v>Thiruvananthapuram</v>
      </c>
      <c r="B26" s="1" t="str">
        <f>'City Introduction'!B31</f>
        <v>India</v>
      </c>
      <c r="C26" s="1" t="str">
        <f>'City Introduction'!C31</f>
        <v>Kerala</v>
      </c>
    </row>
    <row r="27" spans="1:3" x14ac:dyDescent="0.3">
      <c r="A27" s="1" t="str">
        <f>'City Introduction'!A32</f>
        <v>Kinshasa</v>
      </c>
      <c r="B27" s="1" t="str">
        <f>'City Introduction'!B32</f>
        <v>DR Congo</v>
      </c>
      <c r="C27" s="1">
        <f>'City Introduction'!C32</f>
        <v>0</v>
      </c>
    </row>
    <row r="28" spans="1:3" x14ac:dyDescent="0.3">
      <c r="A28" s="1" t="str">
        <f>'City Introduction'!A34</f>
        <v>Jamshedpur</v>
      </c>
      <c r="B28" s="1" t="str">
        <f>'City Introduction'!B34</f>
        <v>India</v>
      </c>
      <c r="C28" s="1" t="str">
        <f>'City Introduction'!C34</f>
        <v>Jharkhand</v>
      </c>
    </row>
    <row r="29" spans="1:3" x14ac:dyDescent="0.3">
      <c r="A29" s="1" t="str">
        <f>'City Introduction'!A35</f>
        <v>Ho Chi Minh City</v>
      </c>
      <c r="B29" s="1" t="str">
        <f>'City Introduction'!B35</f>
        <v>Vietnam</v>
      </c>
      <c r="C29" s="1">
        <f>'City Introduction'!C35</f>
        <v>0</v>
      </c>
    </row>
    <row r="30" spans="1:3" x14ac:dyDescent="0.3">
      <c r="A30" s="1" t="str">
        <f>'City Introduction'!A36</f>
        <v>Guwahati</v>
      </c>
      <c r="B30" s="1" t="str">
        <f>'City Introduction'!B36</f>
        <v>India</v>
      </c>
      <c r="C30" s="1" t="str">
        <f>'City Introduction'!C36</f>
        <v>Assam</v>
      </c>
    </row>
    <row r="31" spans="1:3" x14ac:dyDescent="0.3">
      <c r="A31" s="1" t="str">
        <f>'City Introduction'!A39</f>
        <v>Ludhiana</v>
      </c>
      <c r="B31" s="1" t="str">
        <f>'City Introduction'!B39</f>
        <v>India</v>
      </c>
      <c r="C31" s="1" t="str">
        <f>'City Introduction'!C39</f>
        <v>Punjab</v>
      </c>
    </row>
    <row r="32" spans="1:3" x14ac:dyDescent="0.3">
      <c r="A32" s="1" t="str">
        <f>'City Introduction'!A41</f>
        <v>Raipur</v>
      </c>
      <c r="B32" s="1" t="str">
        <f>'City Introduction'!B41</f>
        <v>India</v>
      </c>
      <c r="C32" s="1" t="str">
        <f>'City Introduction'!C41</f>
        <v>Chattisgarh</v>
      </c>
    </row>
    <row r="33" spans="1:3" x14ac:dyDescent="0.3">
      <c r="A33" s="1" t="str">
        <f>'City Introduction'!A44</f>
        <v>Faridabad</v>
      </c>
      <c r="B33" s="1" t="str">
        <f>'City Introduction'!B44</f>
        <v>India</v>
      </c>
      <c r="C33" s="1" t="str">
        <f>'City Introduction'!C44</f>
        <v>Haryana</v>
      </c>
    </row>
    <row r="34" spans="1:3" x14ac:dyDescent="0.3">
      <c r="A34" s="1" t="str">
        <f>'City Introduction'!A46</f>
        <v>Delhi</v>
      </c>
      <c r="B34" s="1" t="str">
        <f>'City Introduction'!B46</f>
        <v>India</v>
      </c>
      <c r="C34" s="1" t="str">
        <f>'City Introduction'!C46</f>
        <v>Delhi</v>
      </c>
    </row>
    <row r="35" spans="1:3" x14ac:dyDescent="0.3">
      <c r="A35" s="1" t="str">
        <f>'City Introduction'!A49</f>
        <v>Srinagar</v>
      </c>
      <c r="B35" s="1" t="str">
        <f>'City Introduction'!B49</f>
        <v>India</v>
      </c>
      <c r="C35" s="1" t="str">
        <f>'City Introduction'!C49</f>
        <v>Jammu and Kashmir</v>
      </c>
    </row>
    <row r="36" spans="1:3" x14ac:dyDescent="0.3">
      <c r="A36" s="1" t="str">
        <f>'City Introduction'!A51</f>
        <v>Dehradun</v>
      </c>
      <c r="B36" s="1" t="str">
        <f>'City Introduction'!B51</f>
        <v>India</v>
      </c>
      <c r="C36" s="1" t="str">
        <f>'City Introduction'!C51</f>
        <v>Uttarakhand</v>
      </c>
    </row>
    <row r="37" spans="1:3" x14ac:dyDescent="0.3">
      <c r="A37" s="1" t="str">
        <f>'City Introduction'!A53</f>
        <v>Shimla</v>
      </c>
      <c r="B37" s="1" t="str">
        <f>'City Introduction'!B53</f>
        <v>India</v>
      </c>
      <c r="C37" s="1" t="str">
        <f>'City Introduction'!C53</f>
        <v>Himachal Pradesh</v>
      </c>
    </row>
    <row r="38" spans="1:3" x14ac:dyDescent="0.3">
      <c r="A38" s="1" t="str">
        <f>'City Introduction'!A55</f>
        <v>Agartala</v>
      </c>
      <c r="B38" s="1" t="str">
        <f>'City Introduction'!B55</f>
        <v>India</v>
      </c>
      <c r="C38" s="1" t="str">
        <f>'City Introduction'!C55</f>
        <v>Tripura</v>
      </c>
    </row>
    <row r="39" spans="1:3" x14ac:dyDescent="0.3">
      <c r="A39" s="1" t="str">
        <f>'City Introduction'!A57</f>
        <v>Shillong</v>
      </c>
      <c r="B39" s="1" t="str">
        <f>'City Introduction'!B57</f>
        <v>India</v>
      </c>
      <c r="C39" s="1" t="str">
        <f>'City Introduction'!C57</f>
        <v>Meghalaya</v>
      </c>
    </row>
    <row r="40" spans="1:3" x14ac:dyDescent="0.3">
      <c r="A40" s="1" t="str">
        <f>'City Introduction'!A59</f>
        <v>Imphal</v>
      </c>
      <c r="B40" s="1" t="str">
        <f>'City Introduction'!B59</f>
        <v>India</v>
      </c>
      <c r="C40" s="1" t="str">
        <f>'City Introduction'!C59</f>
        <v>Manipur</v>
      </c>
    </row>
    <row r="41" spans="1:3" x14ac:dyDescent="0.3">
      <c r="A41" s="1" t="str">
        <f>'City Introduction'!A61</f>
        <v>Dimapur</v>
      </c>
      <c r="B41" s="1" t="str">
        <f>'City Introduction'!B61</f>
        <v>India</v>
      </c>
      <c r="C41" s="1" t="str">
        <f>'City Introduction'!C61</f>
        <v>Nagaland</v>
      </c>
    </row>
    <row r="42" spans="1:3" x14ac:dyDescent="0.3">
      <c r="A42" s="1" t="str">
        <f>'City Introduction'!A63</f>
        <v>Vasco da Gama</v>
      </c>
      <c r="B42" s="1" t="str">
        <f>'City Introduction'!B63</f>
        <v>India</v>
      </c>
      <c r="C42" s="1" t="str">
        <f>'City Introduction'!C63</f>
        <v>Goa</v>
      </c>
    </row>
    <row r="43" spans="1:3" x14ac:dyDescent="0.3">
      <c r="A43" s="1" t="str">
        <f>'City Introduction'!A65</f>
        <v>Itanagar</v>
      </c>
      <c r="B43" s="1" t="str">
        <f>'City Introduction'!B65</f>
        <v>India</v>
      </c>
      <c r="C43" s="1" t="str">
        <f>'City Introduction'!C65</f>
        <v>Arunachal Pradesh</v>
      </c>
    </row>
    <row r="44" spans="1:3" x14ac:dyDescent="0.3">
      <c r="A44" s="1" t="str">
        <f>'City Introduction'!A67</f>
        <v>Puducherry</v>
      </c>
      <c r="B44" s="1" t="str">
        <f>'City Introduction'!B67</f>
        <v>India</v>
      </c>
      <c r="C44" s="1" t="str">
        <f>'City Introduction'!C67</f>
        <v>Puducherry</v>
      </c>
    </row>
    <row r="45" spans="1:3" x14ac:dyDescent="0.3">
      <c r="A45" s="1" t="str">
        <f>'City Introduction'!A69</f>
        <v>Aizwal</v>
      </c>
      <c r="B45" s="1" t="str">
        <f>'City Introduction'!B69</f>
        <v>India</v>
      </c>
      <c r="C45" s="1" t="str">
        <f>'City Introduction'!C69</f>
        <v>Mizoram</v>
      </c>
    </row>
    <row r="46" spans="1:3" x14ac:dyDescent="0.3">
      <c r="A46" s="1" t="str">
        <f>'City Introduction'!A70</f>
        <v>Chandigarh</v>
      </c>
      <c r="B46" s="1" t="str">
        <f>'City Introduction'!B70</f>
        <v>India</v>
      </c>
      <c r="C46" s="1" t="str">
        <f>'City Introduction'!C70</f>
        <v>Chandigarh</v>
      </c>
    </row>
    <row r="47" spans="1:3" x14ac:dyDescent="0.3">
      <c r="A47" s="1" t="str">
        <f>'City Introduction'!A72</f>
        <v>Gangtok</v>
      </c>
      <c r="B47" s="1" t="str">
        <f>'City Introduction'!B72</f>
        <v>India</v>
      </c>
      <c r="C47" s="1" t="str">
        <f>'City Introduction'!C72</f>
        <v>Sikkim</v>
      </c>
    </row>
    <row r="48" spans="1:3" x14ac:dyDescent="0.3">
      <c r="A48" s="1" t="str">
        <f>'City Introduction'!A74</f>
        <v>Silvassa</v>
      </c>
      <c r="B48" s="1" t="str">
        <f>'City Introduction'!B74</f>
        <v>India</v>
      </c>
      <c r="C48" s="1" t="str">
        <f>'City Introduction'!C74</f>
        <v>Dadra and Nagar Haveli and Daman and Diu</v>
      </c>
    </row>
    <row r="49" spans="1:3" x14ac:dyDescent="0.3">
      <c r="A49" s="1" t="str">
        <f>'City Introduction'!A76</f>
        <v>Sri Vijaya Puram</v>
      </c>
      <c r="B49" s="1" t="str">
        <f>'City Introduction'!B76</f>
        <v>India</v>
      </c>
      <c r="C49" s="1" t="str">
        <f>'City Introduction'!C76</f>
        <v>Andaman and Nicobar Islands</v>
      </c>
    </row>
    <row r="50" spans="1:3" x14ac:dyDescent="0.3">
      <c r="A50" s="1" t="str">
        <f>'City Introduction'!A78</f>
        <v>Leh</v>
      </c>
      <c r="B50" s="1" t="str">
        <f>'City Introduction'!B78</f>
        <v>India</v>
      </c>
      <c r="C50" s="1" t="str">
        <f>'City Introduction'!C78</f>
        <v>Ladakh</v>
      </c>
    </row>
    <row r="51" spans="1:3" x14ac:dyDescent="0.3">
      <c r="A51" s="1" t="str">
        <f>'City Introduction'!A80</f>
        <v>Kavaratti</v>
      </c>
      <c r="B51" s="1" t="str">
        <f>'City Introduction'!B80</f>
        <v>India</v>
      </c>
      <c r="C51" s="1" t="str">
        <f>'City Introduction'!C80</f>
        <v>Lakshwadweep</v>
      </c>
    </row>
    <row r="52" spans="1:3" x14ac:dyDescent="0.3">
      <c r="A52" s="1" t="str">
        <f>'City Introduction'!A81</f>
        <v>Lucknow</v>
      </c>
      <c r="B52" s="1" t="str">
        <f>'City Introduction'!B81</f>
        <v>India</v>
      </c>
      <c r="C52" s="1" t="str">
        <f>'City Introduction'!C81</f>
        <v>Uttar Pradesh</v>
      </c>
    </row>
    <row r="53" spans="1:3" x14ac:dyDescent="0.3">
      <c r="A53" s="1" t="str">
        <f>'City Introduction'!A82</f>
        <v>Shanghai</v>
      </c>
      <c r="B53" s="1" t="str">
        <f>'City Introduction'!B82</f>
        <v>China</v>
      </c>
      <c r="C53" s="1" t="str">
        <f>'City Introduction'!C82</f>
        <v>Federal</v>
      </c>
    </row>
    <row r="54" spans="1:3" x14ac:dyDescent="0.3">
      <c r="A54" s="1" t="str">
        <f>'City Introduction'!A83</f>
        <v>Gaya</v>
      </c>
      <c r="B54" s="1" t="str">
        <f>'City Introduction'!B83</f>
        <v>India</v>
      </c>
      <c r="C54" s="1" t="str">
        <f>'City Introduction'!C83</f>
        <v>Bihar</v>
      </c>
    </row>
    <row r="55" spans="1:3" x14ac:dyDescent="0.3">
      <c r="A55" s="1" t="str">
        <f>'City Introduction'!A84</f>
        <v>Los Angeles</v>
      </c>
      <c r="B55" s="1" t="str">
        <f>'City Introduction'!B84</f>
        <v>USA</v>
      </c>
      <c r="C55" s="1" t="str">
        <f>'City Introduction'!C84</f>
        <v>California</v>
      </c>
    </row>
    <row r="56" spans="1:3" x14ac:dyDescent="0.3">
      <c r="A56" s="1" t="str">
        <f>'City Introduction'!A86</f>
        <v>Pune</v>
      </c>
      <c r="B56" s="1" t="str">
        <f>'City Introduction'!B86</f>
        <v>India</v>
      </c>
      <c r="C56" s="1" t="str">
        <f>'City Introduction'!C86</f>
        <v>Maharashtra</v>
      </c>
    </row>
    <row r="57" spans="1:3" x14ac:dyDescent="0.3">
      <c r="A57" s="1" t="str">
        <f>'City Introduction'!A87</f>
        <v>Surabaya</v>
      </c>
      <c r="B57" s="1" t="str">
        <f>'City Introduction'!B87</f>
        <v>Indonesia</v>
      </c>
      <c r="C57" s="1">
        <f>'City Introduction'!C87</f>
        <v>0</v>
      </c>
    </row>
    <row r="58" spans="1:3" x14ac:dyDescent="0.3">
      <c r="A58" s="1" t="str">
        <f>'City Introduction'!A88</f>
        <v>Asansol</v>
      </c>
      <c r="B58" s="1" t="str">
        <f>'City Introduction'!B88</f>
        <v>India</v>
      </c>
      <c r="C58" s="1" t="str">
        <f>'City Introduction'!C88</f>
        <v>West Bengal</v>
      </c>
    </row>
    <row r="59" spans="1:3" x14ac:dyDescent="0.3">
      <c r="A59" s="1" t="str">
        <f>'City Introduction'!A89</f>
        <v>Kano</v>
      </c>
      <c r="B59" s="1" t="str">
        <f>'City Introduction'!B89</f>
        <v>Nigeria</v>
      </c>
      <c r="C59" s="1">
        <f>'City Introduction'!C89</f>
        <v>0</v>
      </c>
    </row>
    <row r="60" spans="1:3" x14ac:dyDescent="0.3">
      <c r="A60" s="1" t="str">
        <f>'City Introduction'!A90</f>
        <v>Bhopal</v>
      </c>
      <c r="B60" s="1" t="str">
        <f>'City Introduction'!B90</f>
        <v>India</v>
      </c>
      <c r="C60" s="1" t="str">
        <f>'City Introduction'!C90</f>
        <v>Madhya Pradesh</v>
      </c>
    </row>
    <row r="61" spans="1:3" x14ac:dyDescent="0.3">
      <c r="A61" s="1" t="str">
        <f>'City Introduction'!A91</f>
        <v>Rio de Janeiro</v>
      </c>
      <c r="B61" s="1" t="str">
        <f>'City Introduction'!B91</f>
        <v>Brazil</v>
      </c>
      <c r="C61" s="1">
        <f>'City Introduction'!C91</f>
        <v>0</v>
      </c>
    </row>
    <row r="62" spans="1:3" x14ac:dyDescent="0.3">
      <c r="A62" s="1" t="str">
        <f>'City Introduction'!A93</f>
        <v>Jodhpur</v>
      </c>
      <c r="B62" s="1" t="str">
        <f>'City Introduction'!B93</f>
        <v>India</v>
      </c>
      <c r="C62" s="1" t="str">
        <f>'City Introduction'!C93</f>
        <v>Rajasthan</v>
      </c>
    </row>
    <row r="63" spans="1:3" x14ac:dyDescent="0.3">
      <c r="A63" s="1" t="str">
        <f>'City Introduction'!A94</f>
        <v>Chattogram</v>
      </c>
      <c r="B63" s="1" t="str">
        <f>'City Introduction'!B94</f>
        <v>Bangladesh</v>
      </c>
      <c r="C63" s="1">
        <f>'City Introduction'!C94</f>
        <v>0</v>
      </c>
    </row>
    <row r="64" spans="1:3" x14ac:dyDescent="0.3">
      <c r="A64" s="1" t="str">
        <f>'City Introduction'!A95</f>
        <v>Coimbatore</v>
      </c>
      <c r="B64" s="1" t="str">
        <f>'City Introduction'!B95</f>
        <v>India</v>
      </c>
      <c r="C64" s="1" t="str">
        <f>'City Introduction'!C95</f>
        <v>Tamil Nadu</v>
      </c>
    </row>
    <row r="65" spans="1:3" x14ac:dyDescent="0.3">
      <c r="A65" s="1" t="str">
        <f>'City Introduction'!A96</f>
        <v>Saint Petersburg</v>
      </c>
      <c r="B65" s="1" t="str">
        <f>'City Introduction'!B96</f>
        <v>Russia</v>
      </c>
      <c r="C65" s="1">
        <f>'City Introduction'!C96</f>
        <v>0</v>
      </c>
    </row>
    <row r="66" spans="1:3" x14ac:dyDescent="0.3">
      <c r="A66" s="1" t="str">
        <f>'City Introduction'!A98</f>
        <v>Surat</v>
      </c>
      <c r="B66" s="1" t="str">
        <f>'City Introduction'!B98</f>
        <v>India</v>
      </c>
      <c r="C66" s="1" t="str">
        <f>'City Introduction'!C98</f>
        <v>Gujarat</v>
      </c>
    </row>
    <row r="67" spans="1:3" x14ac:dyDescent="0.3">
      <c r="A67" s="1" t="str">
        <f>'City Introduction'!A99</f>
        <v>Adama</v>
      </c>
      <c r="B67" s="1" t="str">
        <f>'City Introduction'!B99</f>
        <v>Ethiopia</v>
      </c>
      <c r="C67" s="1" t="str">
        <f>'City Introduction'!C99</f>
        <v>Oromia</v>
      </c>
    </row>
    <row r="68" spans="1:3" x14ac:dyDescent="0.3">
      <c r="A68" s="1" t="str">
        <f>'City Introduction'!A100</f>
        <v>Hubballi - Dharwad</v>
      </c>
      <c r="B68" s="1" t="str">
        <f>'City Introduction'!B100</f>
        <v>India</v>
      </c>
      <c r="C68" s="1" t="str">
        <f>'City Introduction'!C100</f>
        <v>Karnataka</v>
      </c>
    </row>
    <row r="69" spans="1:3" x14ac:dyDescent="0.3">
      <c r="A69" s="1" t="str">
        <f>'City Introduction'!A101</f>
        <v>Guadalajara</v>
      </c>
      <c r="B69" s="1" t="str">
        <f>'City Introduction'!B101</f>
        <v>Mexico</v>
      </c>
      <c r="C69" s="1" t="str">
        <f>'City Introduction'!C101</f>
        <v>Jalisco</v>
      </c>
    </row>
    <row r="70" spans="1:3" x14ac:dyDescent="0.3">
      <c r="A70" s="1" t="str">
        <f>'City Introduction'!A103</f>
        <v>Vijayawada</v>
      </c>
      <c r="B70" s="1" t="str">
        <f>'City Introduction'!B103</f>
        <v>India</v>
      </c>
      <c r="C70" s="1" t="str">
        <f>'City Introduction'!C103</f>
        <v>Andhra Pradesh</v>
      </c>
    </row>
    <row r="71" spans="1:3" x14ac:dyDescent="0.3">
      <c r="A71" s="1" t="str">
        <f>'City Introduction'!A104</f>
        <v>Yokohama</v>
      </c>
      <c r="B71" s="1" t="str">
        <f>'City Introduction'!B104</f>
        <v>Japan</v>
      </c>
      <c r="C71" s="1">
        <f>'City Introduction'!C104</f>
        <v>0</v>
      </c>
    </row>
    <row r="72" spans="1:3" x14ac:dyDescent="0.3">
      <c r="A72" s="1" t="str">
        <f>'City Introduction'!A105</f>
        <v>Cuttack</v>
      </c>
      <c r="B72" s="1" t="str">
        <f>'City Introduction'!B105</f>
        <v>India</v>
      </c>
      <c r="C72" s="1" t="str">
        <f>'City Introduction'!C105</f>
        <v>Odisha</v>
      </c>
    </row>
    <row r="73" spans="1:3" x14ac:dyDescent="0.3">
      <c r="A73" s="1" t="str">
        <f>'City Introduction'!A106</f>
        <v>Alexandria</v>
      </c>
      <c r="B73" s="1" t="str">
        <f>'City Introduction'!B106</f>
        <v>Egypt</v>
      </c>
      <c r="C73" s="1">
        <f>'City Introduction'!C106</f>
        <v>0</v>
      </c>
    </row>
    <row r="74" spans="1:3" x14ac:dyDescent="0.3">
      <c r="A74" s="1" t="str">
        <f>'City Introduction'!A108</f>
        <v>Warangal</v>
      </c>
      <c r="B74" s="1" t="str">
        <f>'City Introduction'!B108</f>
        <v>India</v>
      </c>
      <c r="C74" s="1" t="str">
        <f>'City Introduction'!C108</f>
        <v>Telangana</v>
      </c>
    </row>
    <row r="75" spans="1:3" x14ac:dyDescent="0.3">
      <c r="A75" s="1" t="str">
        <f>'City Introduction'!A109</f>
        <v>Davao City</v>
      </c>
      <c r="B75" s="1" t="str">
        <f>'City Introduction'!B109</f>
        <v>Philippines</v>
      </c>
      <c r="C75" s="1" t="str">
        <f>'City Introduction'!C109</f>
        <v>Federal</v>
      </c>
    </row>
    <row r="76" spans="1:3" x14ac:dyDescent="0.3">
      <c r="A76" s="1" t="str">
        <f>'City Introduction'!A110</f>
        <v>Kochi</v>
      </c>
      <c r="B76" s="1" t="str">
        <f>'City Introduction'!B110</f>
        <v>India</v>
      </c>
      <c r="C76" s="1" t="str">
        <f>'City Introduction'!C110</f>
        <v>Kerala</v>
      </c>
    </row>
    <row r="77" spans="1:3" x14ac:dyDescent="0.3">
      <c r="A77" s="1" t="str">
        <f>'City Introduction'!A111</f>
        <v>Lubumbashi</v>
      </c>
      <c r="B77" s="1" t="str">
        <f>'City Introduction'!B111</f>
        <v>DR Congo</v>
      </c>
      <c r="C77" s="1">
        <f>'City Introduction'!C111</f>
        <v>0</v>
      </c>
    </row>
    <row r="78" spans="1:3" x14ac:dyDescent="0.3">
      <c r="A78" s="1" t="str">
        <f>'City Introduction'!A113</f>
        <v>Dhanbad</v>
      </c>
      <c r="B78" s="1" t="str">
        <f>'City Introduction'!B113</f>
        <v>India</v>
      </c>
      <c r="C78" s="1" t="str">
        <f>'City Introduction'!C113</f>
        <v>Jharkhand</v>
      </c>
    </row>
    <row r="79" spans="1:3" x14ac:dyDescent="0.3">
      <c r="A79" s="1" t="str">
        <f>'City Introduction'!A114</f>
        <v>Hanoi</v>
      </c>
      <c r="B79" s="1" t="str">
        <f>'City Introduction'!B114</f>
        <v>Vietnam</v>
      </c>
      <c r="C79" s="1">
        <f>'City Introduction'!C114</f>
        <v>0</v>
      </c>
    </row>
    <row r="80" spans="1:3" x14ac:dyDescent="0.3">
      <c r="A80" s="1" t="str">
        <f>'City Introduction'!A115</f>
        <v>Silchar</v>
      </c>
      <c r="B80" s="1" t="str">
        <f>'City Introduction'!B115</f>
        <v>India</v>
      </c>
      <c r="C80" s="1" t="str">
        <f>'City Introduction'!C115</f>
        <v>Assam</v>
      </c>
    </row>
    <row r="81" spans="1:3" x14ac:dyDescent="0.3">
      <c r="A81" s="1" t="str">
        <f>'City Introduction'!A118</f>
        <v>Amritsar</v>
      </c>
      <c r="B81" s="1" t="str">
        <f>'City Introduction'!B118</f>
        <v>India</v>
      </c>
      <c r="C81" s="1" t="str">
        <f>'City Introduction'!C118</f>
        <v>Punjab</v>
      </c>
    </row>
    <row r="82" spans="1:3" x14ac:dyDescent="0.3">
      <c r="A82" s="1" t="str">
        <f>'City Introduction'!A120</f>
        <v>Bhilai - Durg</v>
      </c>
      <c r="B82" s="1" t="str">
        <f>'City Introduction'!B120</f>
        <v>India</v>
      </c>
      <c r="C82" s="1" t="str">
        <f>'City Introduction'!C120</f>
        <v>Chattisgarh</v>
      </c>
    </row>
    <row r="83" spans="1:3" x14ac:dyDescent="0.3">
      <c r="A83" s="1" t="str">
        <f>'City Introduction'!A123</f>
        <v>Gurugram</v>
      </c>
      <c r="B83" s="1" t="str">
        <f>'City Introduction'!B123</f>
        <v>India</v>
      </c>
      <c r="C83" s="1" t="str">
        <f>'City Introduction'!C123</f>
        <v>Haryana</v>
      </c>
    </row>
    <row r="84" spans="1:3" x14ac:dyDescent="0.3">
      <c r="A84" s="1" t="str">
        <f>'City Introduction'!A126</f>
        <v>Jammu</v>
      </c>
      <c r="B84" s="1" t="str">
        <f>'City Introduction'!B126</f>
        <v>India</v>
      </c>
      <c r="C84" s="1" t="str">
        <f>'City Introduction'!C126</f>
        <v>Jammu and Kashmir</v>
      </c>
    </row>
    <row r="85" spans="1:3" x14ac:dyDescent="0.3">
      <c r="A85" s="1" t="str">
        <f>'City Introduction'!A128</f>
        <v>Haridwar</v>
      </c>
      <c r="B85" s="1" t="str">
        <f>'City Introduction'!B128</f>
        <v>India</v>
      </c>
      <c r="C85" s="1" t="str">
        <f>'City Introduction'!C128</f>
        <v>Uttarakhand</v>
      </c>
    </row>
    <row r="86" spans="1:3" x14ac:dyDescent="0.3">
      <c r="A86" s="1" t="str">
        <f>'City Introduction'!A130</f>
        <v>Dharamshala</v>
      </c>
      <c r="B86" s="1" t="str">
        <f>'City Introduction'!B130</f>
        <v>India</v>
      </c>
      <c r="C86" s="1" t="str">
        <f>'City Introduction'!C130</f>
        <v>Himachal Pradesh</v>
      </c>
    </row>
    <row r="87" spans="1:3" x14ac:dyDescent="0.3">
      <c r="A87" s="1" t="str">
        <f>'City Introduction'!A132</f>
        <v>Dharmanagar</v>
      </c>
      <c r="B87" s="1" t="str">
        <f>'City Introduction'!B132</f>
        <v>India</v>
      </c>
      <c r="C87" s="1" t="str">
        <f>'City Introduction'!C132</f>
        <v>Tripura</v>
      </c>
    </row>
    <row r="88" spans="1:3" x14ac:dyDescent="0.3">
      <c r="A88" s="1" t="str">
        <f>'City Introduction'!A134</f>
        <v>Tura</v>
      </c>
      <c r="B88" s="1" t="str">
        <f>'City Introduction'!B134</f>
        <v>India</v>
      </c>
      <c r="C88" s="1" t="str">
        <f>'City Introduction'!C134</f>
        <v>Meghalaya</v>
      </c>
    </row>
    <row r="89" spans="1:3" x14ac:dyDescent="0.3">
      <c r="A89" s="1" t="str">
        <f>'City Introduction'!A136</f>
        <v>Churachandpur</v>
      </c>
      <c r="B89" s="1" t="str">
        <f>'City Introduction'!B136</f>
        <v>India</v>
      </c>
      <c r="C89" s="1" t="str">
        <f>'City Introduction'!C136</f>
        <v>Manipur</v>
      </c>
    </row>
    <row r="90" spans="1:3" x14ac:dyDescent="0.3">
      <c r="A90" s="1" t="str">
        <f>'City Introduction'!A138</f>
        <v>Kohima</v>
      </c>
      <c r="B90" s="1" t="str">
        <f>'City Introduction'!B138</f>
        <v>India</v>
      </c>
      <c r="C90" s="1" t="str">
        <f>'City Introduction'!C138</f>
        <v>Nagaland</v>
      </c>
    </row>
    <row r="91" spans="1:3" x14ac:dyDescent="0.3">
      <c r="A91" s="1" t="str">
        <f>'City Introduction'!A140</f>
        <v>Madgaon</v>
      </c>
      <c r="B91" s="1" t="str">
        <f>'City Introduction'!B140</f>
        <v>India</v>
      </c>
      <c r="C91" s="1" t="str">
        <f>'City Introduction'!C140</f>
        <v>Goa</v>
      </c>
    </row>
    <row r="92" spans="1:3" x14ac:dyDescent="0.3">
      <c r="A92" s="1" t="str">
        <f>'City Introduction'!A142</f>
        <v>Naharlagun</v>
      </c>
      <c r="B92" s="1" t="str">
        <f>'City Introduction'!B142</f>
        <v>India</v>
      </c>
      <c r="C92" s="1" t="str">
        <f>'City Introduction'!C142</f>
        <v>Arunachal Pradesh</v>
      </c>
    </row>
    <row r="93" spans="1:3" x14ac:dyDescent="0.3">
      <c r="A93" s="1" t="str">
        <f>'City Introduction'!A144</f>
        <v>Lunglei</v>
      </c>
      <c r="B93" s="1" t="str">
        <f>'City Introduction'!B144</f>
        <v>India</v>
      </c>
      <c r="C93" s="1" t="str">
        <f>'City Introduction'!C144</f>
        <v>Mizoram</v>
      </c>
    </row>
    <row r="94" spans="1:3" x14ac:dyDescent="0.3">
      <c r="A94" s="1" t="str">
        <f>'City Introduction'!A146</f>
        <v>Namchi</v>
      </c>
      <c r="B94" s="1" t="str">
        <f>'City Introduction'!B146</f>
        <v>India</v>
      </c>
      <c r="C94" s="1" t="str">
        <f>'City Introduction'!C146</f>
        <v>Sikkim</v>
      </c>
    </row>
    <row r="95" spans="1:3" x14ac:dyDescent="0.3">
      <c r="A95" s="1" t="str">
        <f>'City Introduction'!A148</f>
        <v>Dadhel</v>
      </c>
      <c r="B95" s="1" t="str">
        <f>'City Introduction'!B148</f>
        <v>India</v>
      </c>
      <c r="C95" s="1" t="str">
        <f>'City Introduction'!C148</f>
        <v>Dadra and Nagar Haveli and Daman and Diu</v>
      </c>
    </row>
    <row r="96" spans="1:3" x14ac:dyDescent="0.3">
      <c r="A96" s="1" t="str">
        <f>'City Introduction'!A150</f>
        <v>Garacharma</v>
      </c>
      <c r="B96" s="1" t="str">
        <f>'City Introduction'!B150</f>
        <v>India</v>
      </c>
      <c r="C96" s="1" t="str">
        <f>'City Introduction'!C150</f>
        <v>Andaman and Nicobar Islands</v>
      </c>
    </row>
    <row r="97" spans="1:3" x14ac:dyDescent="0.3">
      <c r="A97" s="1" t="str">
        <f>'City Introduction'!A152</f>
        <v>Kargil</v>
      </c>
      <c r="B97" s="1" t="str">
        <f>'City Introduction'!B152</f>
        <v>India</v>
      </c>
      <c r="C97" s="1" t="str">
        <f>'City Introduction'!C152</f>
        <v>Ladakh</v>
      </c>
    </row>
    <row r="98" spans="1:3" x14ac:dyDescent="0.3">
      <c r="A98" s="1" t="str">
        <f>'City Introduction'!A153</f>
        <v>Ghaziabad</v>
      </c>
      <c r="B98" s="1" t="str">
        <f>'City Introduction'!B153</f>
        <v>India</v>
      </c>
      <c r="C98" s="1" t="str">
        <f>'City Introduction'!C153</f>
        <v>Uttar Pradesh</v>
      </c>
    </row>
    <row r="99" spans="1:3" x14ac:dyDescent="0.3">
      <c r="A99" s="1" t="str">
        <f>'City Introduction'!A154</f>
        <v>Beijing</v>
      </c>
      <c r="B99" s="1" t="str">
        <f>'City Introduction'!B154</f>
        <v>China</v>
      </c>
      <c r="C99" s="1" t="str">
        <f>'City Introduction'!C154</f>
        <v>Federal</v>
      </c>
    </row>
    <row r="100" spans="1:3" x14ac:dyDescent="0.3">
      <c r="A100" s="1" t="str">
        <f>'City Introduction'!A155</f>
        <v>Bhagalpur</v>
      </c>
      <c r="B100" s="1" t="str">
        <f>'City Introduction'!B155</f>
        <v>India</v>
      </c>
      <c r="C100" s="1" t="str">
        <f>'City Introduction'!C155</f>
        <v>Bihar</v>
      </c>
    </row>
    <row r="101" spans="1:3" x14ac:dyDescent="0.3">
      <c r="A101" s="1" t="str">
        <f>'City Introduction'!A156</f>
        <v>Chicago</v>
      </c>
      <c r="B101" s="1" t="str">
        <f>'City Introduction'!B156</f>
        <v>USA</v>
      </c>
      <c r="C101" s="1" t="str">
        <f>'City Introduction'!C156</f>
        <v>Illinois</v>
      </c>
    </row>
    <row r="102" spans="1:3" x14ac:dyDescent="0.3">
      <c r="A102" s="1" t="str">
        <f>'City Introduction'!A158</f>
        <v>Nagpur</v>
      </c>
      <c r="B102" s="1" t="str">
        <f>'City Introduction'!B158</f>
        <v>India</v>
      </c>
      <c r="C102" s="1" t="str">
        <f>'City Introduction'!C158</f>
        <v>Maharashtra</v>
      </c>
    </row>
    <row r="103" spans="1:3" x14ac:dyDescent="0.3">
      <c r="A103" s="1" t="str">
        <f>'City Introduction'!A159</f>
        <v>Bekasi</v>
      </c>
      <c r="B103" s="1" t="str">
        <f>'City Introduction'!B159</f>
        <v>Indonesia</v>
      </c>
      <c r="C103" s="1">
        <f>'City Introduction'!C159</f>
        <v>0</v>
      </c>
    </row>
    <row r="104" spans="1:3" x14ac:dyDescent="0.3">
      <c r="A104" s="1" t="str">
        <f>'City Introduction'!A160</f>
        <v>Siliguri</v>
      </c>
      <c r="B104" s="1" t="str">
        <f>'City Introduction'!B160</f>
        <v>India</v>
      </c>
      <c r="C104" s="1" t="str">
        <f>'City Introduction'!C160</f>
        <v>West Bengal</v>
      </c>
    </row>
    <row r="105" spans="1:3" x14ac:dyDescent="0.3">
      <c r="A105" s="1" t="str">
        <f>'City Introduction'!A161</f>
        <v>Ibadan</v>
      </c>
      <c r="B105" s="1" t="str">
        <f>'City Introduction'!B161</f>
        <v>Nigeria</v>
      </c>
      <c r="C105" s="1">
        <f>'City Introduction'!C161</f>
        <v>0</v>
      </c>
    </row>
    <row r="106" spans="1:3" x14ac:dyDescent="0.3">
      <c r="A106" s="1" t="str">
        <f>'City Introduction'!A162</f>
        <v>Jabalpur</v>
      </c>
      <c r="B106" s="1" t="str">
        <f>'City Introduction'!B162</f>
        <v>India</v>
      </c>
      <c r="C106" s="1" t="str">
        <f>'City Introduction'!C162</f>
        <v>Madhya Pradesh</v>
      </c>
    </row>
    <row r="107" spans="1:3" x14ac:dyDescent="0.3">
      <c r="A107" s="1" t="str">
        <f>'City Introduction'!A163</f>
        <v>Brasilia</v>
      </c>
      <c r="B107" s="1" t="str">
        <f>'City Introduction'!B163</f>
        <v>Brazil</v>
      </c>
      <c r="C107" s="1">
        <f>'City Introduction'!C163</f>
        <v>0</v>
      </c>
    </row>
    <row r="108" spans="1:3" x14ac:dyDescent="0.3">
      <c r="A108" s="1" t="str">
        <f>'City Introduction'!A165</f>
        <v>Kota</v>
      </c>
      <c r="B108" s="1" t="str">
        <f>'City Introduction'!B165</f>
        <v>India</v>
      </c>
      <c r="C108" s="1" t="str">
        <f>'City Introduction'!C165</f>
        <v>Rajasthan</v>
      </c>
    </row>
    <row r="109" spans="1:3" x14ac:dyDescent="0.3">
      <c r="A109" s="1" t="str">
        <f>'City Introduction'!A166</f>
        <v>Savar</v>
      </c>
      <c r="B109" s="1" t="str">
        <f>'City Introduction'!B166</f>
        <v>Bangladesh</v>
      </c>
      <c r="C109" s="1">
        <f>'City Introduction'!C166</f>
        <v>0</v>
      </c>
    </row>
    <row r="110" spans="1:3" x14ac:dyDescent="0.3">
      <c r="A110" s="1" t="str">
        <f>'City Introduction'!A167</f>
        <v>Madurai</v>
      </c>
      <c r="B110" s="1" t="str">
        <f>'City Introduction'!B167</f>
        <v>India</v>
      </c>
      <c r="C110" s="1" t="str">
        <f>'City Introduction'!C167</f>
        <v>Tamil Nadu</v>
      </c>
    </row>
    <row r="111" spans="1:3" x14ac:dyDescent="0.3">
      <c r="A111" s="1" t="str">
        <f>'City Introduction'!A168</f>
        <v>Novosibirsk</v>
      </c>
      <c r="B111" s="1" t="str">
        <f>'City Introduction'!B168</f>
        <v>Russia</v>
      </c>
      <c r="C111" s="1">
        <f>'City Introduction'!C168</f>
        <v>0</v>
      </c>
    </row>
    <row r="112" spans="1:3" x14ac:dyDescent="0.3">
      <c r="A112" s="1" t="str">
        <f>'City Introduction'!A170</f>
        <v>Vadodara</v>
      </c>
      <c r="B112" s="1" t="str">
        <f>'City Introduction'!B170</f>
        <v>India</v>
      </c>
      <c r="C112" s="1" t="str">
        <f>'City Introduction'!C170</f>
        <v>Gujarat</v>
      </c>
    </row>
    <row r="113" spans="1:3" x14ac:dyDescent="0.3">
      <c r="A113" s="1" t="str">
        <f>'City Introduction'!A171</f>
        <v>Bahir Dar</v>
      </c>
      <c r="B113" s="1" t="str">
        <f>'City Introduction'!B171</f>
        <v>Ethiopia</v>
      </c>
      <c r="C113" s="1" t="str">
        <f>'City Introduction'!C171</f>
        <v>Amhara</v>
      </c>
    </row>
    <row r="114" spans="1:3" x14ac:dyDescent="0.3">
      <c r="A114" s="1" t="str">
        <f>'City Introduction'!A172</f>
        <v>Mysuru</v>
      </c>
      <c r="B114" s="1" t="str">
        <f>'City Introduction'!B172</f>
        <v>India</v>
      </c>
      <c r="C114" s="1" t="str">
        <f>'City Introduction'!C172</f>
        <v>Karnataka</v>
      </c>
    </row>
    <row r="115" spans="1:3" x14ac:dyDescent="0.3">
      <c r="A115" s="1" t="str">
        <f>'City Introduction'!A173</f>
        <v>Monterrey</v>
      </c>
      <c r="B115" s="1" t="str">
        <f>'City Introduction'!B173</f>
        <v>Mexico</v>
      </c>
      <c r="C115" s="1" t="str">
        <f>'City Introduction'!C173</f>
        <v>Nuevo Leon</v>
      </c>
    </row>
    <row r="116" spans="1:3" x14ac:dyDescent="0.3">
      <c r="A116" s="1" t="str">
        <f>'City Introduction'!A175</f>
        <v>Guntur</v>
      </c>
      <c r="B116" s="1" t="str">
        <f>'City Introduction'!B175</f>
        <v>India</v>
      </c>
      <c r="C116" s="1" t="str">
        <f>'City Introduction'!C175</f>
        <v>Andhra Pradesh</v>
      </c>
    </row>
    <row r="117" spans="1:3" x14ac:dyDescent="0.3">
      <c r="A117" s="1" t="str">
        <f>'City Introduction'!A176</f>
        <v>Osaka</v>
      </c>
      <c r="B117" s="1" t="str">
        <f>'City Introduction'!B176</f>
        <v>Japan</v>
      </c>
      <c r="C117" s="1" t="str">
        <f>'City Introduction'!C176</f>
        <v>Osaka</v>
      </c>
    </row>
    <row r="118" spans="1:3" x14ac:dyDescent="0.3">
      <c r="A118" s="1" t="str">
        <f>'City Introduction'!A177</f>
        <v>Rourkela</v>
      </c>
      <c r="B118" s="1" t="str">
        <f>'City Introduction'!B177</f>
        <v>India</v>
      </c>
      <c r="C118" s="1" t="str">
        <f>'City Introduction'!C177</f>
        <v>Odisha</v>
      </c>
    </row>
    <row r="119" spans="1:3" x14ac:dyDescent="0.3">
      <c r="A119" s="1" t="str">
        <f>'City Introduction'!A178</f>
        <v>Luxor</v>
      </c>
      <c r="B119" s="1" t="str">
        <f>'City Introduction'!B178</f>
        <v>Egypt</v>
      </c>
      <c r="C119" s="1">
        <f>'City Introduction'!C178</f>
        <v>0</v>
      </c>
    </row>
    <row r="120" spans="1:3" x14ac:dyDescent="0.3">
      <c r="A120" s="1" t="str">
        <f>'City Introduction'!A180</f>
        <v>Nizamabad</v>
      </c>
      <c r="B120" s="1" t="str">
        <f>'City Introduction'!B180</f>
        <v>India</v>
      </c>
      <c r="C120" s="1" t="str">
        <f>'City Introduction'!C180</f>
        <v>Telangana</v>
      </c>
    </row>
    <row r="121" spans="1:3" x14ac:dyDescent="0.3">
      <c r="A121" s="1" t="str">
        <f>'City Introduction'!A181</f>
        <v>Manila</v>
      </c>
      <c r="B121" s="1" t="str">
        <f>'City Introduction'!B181</f>
        <v>Philippines</v>
      </c>
      <c r="C121" s="1" t="str">
        <f>'City Introduction'!C181</f>
        <v>Federal</v>
      </c>
    </row>
    <row r="122" spans="1:3" x14ac:dyDescent="0.3">
      <c r="A122" s="1" t="str">
        <f>'City Introduction'!A182</f>
        <v>Kozhikode</v>
      </c>
      <c r="B122" s="1" t="str">
        <f>'City Introduction'!B182</f>
        <v>India</v>
      </c>
      <c r="C122" s="1" t="str">
        <f>'City Introduction'!C182</f>
        <v>Kerala</v>
      </c>
    </row>
    <row r="123" spans="1:3" x14ac:dyDescent="0.3">
      <c r="A123" s="1" t="str">
        <f>'City Introduction'!A183</f>
        <v>Kananga</v>
      </c>
      <c r="B123" s="1" t="str">
        <f>'City Introduction'!B183</f>
        <v>DR Congo</v>
      </c>
      <c r="C123" s="1">
        <f>'City Introduction'!C183</f>
        <v>0</v>
      </c>
    </row>
    <row r="124" spans="1:3" x14ac:dyDescent="0.3">
      <c r="A124" s="1" t="str">
        <f>'City Introduction'!A185</f>
        <v>Ranchi</v>
      </c>
      <c r="B124" s="1" t="str">
        <f>'City Introduction'!B185</f>
        <v>India</v>
      </c>
      <c r="C124" s="1" t="str">
        <f>'City Introduction'!C185</f>
        <v>Jharkhand</v>
      </c>
    </row>
    <row r="125" spans="1:3" x14ac:dyDescent="0.3">
      <c r="A125" s="1" t="str">
        <f>'City Introduction'!A186</f>
        <v>Hai Phong</v>
      </c>
      <c r="B125" s="1" t="str">
        <f>'City Introduction'!B186</f>
        <v>Vietnam</v>
      </c>
      <c r="C125" s="1">
        <f>'City Introduction'!C186</f>
        <v>0</v>
      </c>
    </row>
    <row r="126" spans="1:3" x14ac:dyDescent="0.3">
      <c r="A126" s="1" t="str">
        <f>'City Introduction'!A187</f>
        <v>Dibrugarh</v>
      </c>
      <c r="B126" s="1" t="str">
        <f>'City Introduction'!B187</f>
        <v>India</v>
      </c>
      <c r="C126" s="1" t="str">
        <f>'City Introduction'!C187</f>
        <v>Assam</v>
      </c>
    </row>
    <row r="127" spans="1:3" x14ac:dyDescent="0.3">
      <c r="A127" s="1" t="str">
        <f>'City Introduction'!A190</f>
        <v>Jalandhar</v>
      </c>
      <c r="B127" s="1" t="str">
        <f>'City Introduction'!B190</f>
        <v>India</v>
      </c>
      <c r="C127" s="1" t="str">
        <f>'City Introduction'!C190</f>
        <v>Punjab</v>
      </c>
    </row>
    <row r="128" spans="1:3" x14ac:dyDescent="0.3">
      <c r="A128" s="1" t="str">
        <f>'City Introduction'!A192</f>
        <v>Korba</v>
      </c>
      <c r="B128" s="1" t="str">
        <f>'City Introduction'!B192</f>
        <v>India</v>
      </c>
      <c r="C128" s="1" t="str">
        <f>'City Introduction'!C192</f>
        <v>Chattisgarh</v>
      </c>
    </row>
    <row r="129" spans="1:3" x14ac:dyDescent="0.3">
      <c r="A129" s="1" t="str">
        <f>'City Introduction'!A195</f>
        <v>Rohtak</v>
      </c>
      <c r="B129" s="1" t="str">
        <f>'City Introduction'!B195</f>
        <v>India</v>
      </c>
      <c r="C129" s="1" t="str">
        <f>'City Introduction'!C195</f>
        <v>Haryana</v>
      </c>
    </row>
    <row r="130" spans="1:3" x14ac:dyDescent="0.3">
      <c r="A130" s="1" t="str">
        <f>'City Introduction'!A198</f>
        <v>Anantnag</v>
      </c>
      <c r="B130" s="1" t="str">
        <f>'City Introduction'!B198</f>
        <v>India</v>
      </c>
      <c r="C130" s="1" t="str">
        <f>'City Introduction'!C198</f>
        <v>Jammu and Kashmir</v>
      </c>
    </row>
    <row r="131" spans="1:3" x14ac:dyDescent="0.3">
      <c r="A131" s="1" t="str">
        <f>'City Introduction'!A200</f>
        <v>Roorkee</v>
      </c>
      <c r="B131" s="1" t="str">
        <f>'City Introduction'!B200</f>
        <v>India</v>
      </c>
      <c r="C131" s="1" t="str">
        <f>'City Introduction'!C200</f>
        <v>Uttarakhand</v>
      </c>
    </row>
    <row r="132" spans="1:3" x14ac:dyDescent="0.3">
      <c r="A132" s="1" t="str">
        <f>'City Introduction'!A202</f>
        <v>Mandi</v>
      </c>
      <c r="B132" s="1" t="str">
        <f>'City Introduction'!B202</f>
        <v>India</v>
      </c>
      <c r="C132" s="1" t="str">
        <f>'City Introduction'!C202</f>
        <v>Himachal Pradesh</v>
      </c>
    </row>
    <row r="133" spans="1:3" x14ac:dyDescent="0.3">
      <c r="A133" s="1" t="str">
        <f>'City Introduction'!A204</f>
        <v>Udaipur</v>
      </c>
      <c r="B133" s="1" t="str">
        <f>'City Introduction'!B204</f>
        <v>India</v>
      </c>
      <c r="C133" s="1" t="str">
        <f>'City Introduction'!C204</f>
        <v>Tripura</v>
      </c>
    </row>
    <row r="134" spans="1:3" x14ac:dyDescent="0.3">
      <c r="A134" s="1" t="str">
        <f>'City Introduction'!A206</f>
        <v>Nongstoin</v>
      </c>
      <c r="B134" s="1" t="str">
        <f>'City Introduction'!B206</f>
        <v>India</v>
      </c>
      <c r="C134" s="1" t="str">
        <f>'City Introduction'!C206</f>
        <v>Meghalaya</v>
      </c>
    </row>
    <row r="135" spans="1:3" x14ac:dyDescent="0.3">
      <c r="A135" s="1" t="str">
        <f>'City Introduction'!A208</f>
        <v>Thoubal</v>
      </c>
      <c r="B135" s="1" t="str">
        <f>'City Introduction'!B208</f>
        <v>India</v>
      </c>
      <c r="C135" s="1" t="str">
        <f>'City Introduction'!C208</f>
        <v>Manipur</v>
      </c>
    </row>
    <row r="136" spans="1:3" x14ac:dyDescent="0.3">
      <c r="A136" s="1" t="str">
        <f>'City Introduction'!A210</f>
        <v>Chumoukedima</v>
      </c>
      <c r="B136" s="1" t="str">
        <f>'City Introduction'!B210</f>
        <v>India</v>
      </c>
      <c r="C136" s="1" t="str">
        <f>'City Introduction'!C210</f>
        <v>Nagaland</v>
      </c>
    </row>
    <row r="137" spans="1:3" x14ac:dyDescent="0.3">
      <c r="A137" s="1" t="str">
        <f>'City Introduction'!A212</f>
        <v>Panjim</v>
      </c>
      <c r="B137" s="1" t="str">
        <f>'City Introduction'!B212</f>
        <v>India</v>
      </c>
      <c r="C137" s="1" t="str">
        <f>'City Introduction'!C212</f>
        <v>Goa</v>
      </c>
    </row>
    <row r="138" spans="1:3" x14ac:dyDescent="0.3">
      <c r="A138" s="1" t="str">
        <f>'City Introduction'!A214</f>
        <v>Pasighat</v>
      </c>
      <c r="B138" s="1" t="str">
        <f>'City Introduction'!B214</f>
        <v>India</v>
      </c>
      <c r="C138" s="1" t="str">
        <f>'City Introduction'!C214</f>
        <v>Arunachal Pradesh</v>
      </c>
    </row>
    <row r="139" spans="1:3" x14ac:dyDescent="0.3">
      <c r="A139" s="1" t="str">
        <f>'City Introduction'!A216</f>
        <v>Champhai</v>
      </c>
      <c r="B139" s="1" t="str">
        <f>'City Introduction'!B216</f>
        <v>India</v>
      </c>
      <c r="C139" s="1" t="str">
        <f>'City Introduction'!C216</f>
        <v>Mizoram</v>
      </c>
    </row>
    <row r="140" spans="1:3" x14ac:dyDescent="0.3">
      <c r="A140" s="1" t="str">
        <f>'City Introduction'!A218</f>
        <v>Rangpo</v>
      </c>
      <c r="B140" s="1" t="str">
        <f>'City Introduction'!B218</f>
        <v>India</v>
      </c>
      <c r="C140" s="1" t="str">
        <f>'City Introduction'!C218</f>
        <v>Sikkim</v>
      </c>
    </row>
    <row r="141" spans="1:3" x14ac:dyDescent="0.3">
      <c r="A141" s="1" t="str">
        <f>'City Introduction'!A220</f>
        <v>Naroli</v>
      </c>
      <c r="B141" s="1" t="str">
        <f>'City Introduction'!B220</f>
        <v>India</v>
      </c>
      <c r="C141" s="1" t="str">
        <f>'City Introduction'!C220</f>
        <v xml:space="preserve">Dadra and Nagar Haveli </v>
      </c>
    </row>
    <row r="142" spans="1:3" x14ac:dyDescent="0.3">
      <c r="A142" s="1" t="str">
        <f>'City Introduction'!A222</f>
        <v>Daman</v>
      </c>
      <c r="B142" s="1" t="str">
        <f>'City Introduction'!B222</f>
        <v>India</v>
      </c>
      <c r="C142" s="1" t="str">
        <f>'City Introduction'!C222</f>
        <v>Daman and Diu</v>
      </c>
    </row>
    <row r="143" spans="1:3" x14ac:dyDescent="0.3">
      <c r="A143" s="1" t="str">
        <f>'City Introduction'!A224</f>
        <v>Prothrapur</v>
      </c>
      <c r="B143" s="1" t="str">
        <f>'City Introduction'!B224</f>
        <v>India</v>
      </c>
      <c r="C143" s="1" t="str">
        <f>'City Introduction'!C224</f>
        <v>Andaman and Nicobar Islands</v>
      </c>
    </row>
    <row r="144" spans="1:3" x14ac:dyDescent="0.3">
      <c r="A144" s="1" t="str">
        <f>'City Introduction'!A226</f>
        <v>Choglamsar</v>
      </c>
      <c r="B144" s="1" t="str">
        <f>'City Introduction'!B226</f>
        <v>India</v>
      </c>
      <c r="C144" s="1" t="str">
        <f>'City Introduction'!C226</f>
        <v>Ladakh</v>
      </c>
    </row>
    <row r="145" spans="1:3" x14ac:dyDescent="0.3">
      <c r="A145" s="1" t="str">
        <f>'City Introduction'!A227</f>
        <v>Agra</v>
      </c>
      <c r="B145" s="1" t="str">
        <f>'City Introduction'!B227</f>
        <v>India</v>
      </c>
      <c r="C145" s="1" t="str">
        <f>'City Introduction'!C227</f>
        <v>Uttar Pradesh</v>
      </c>
    </row>
    <row r="146" spans="1:3" x14ac:dyDescent="0.3">
      <c r="A146" s="1" t="str">
        <f>'City Introduction'!A228</f>
        <v>Chengdu</v>
      </c>
      <c r="B146" s="1" t="str">
        <f>'City Introduction'!B228</f>
        <v>China</v>
      </c>
      <c r="C146" s="1" t="str">
        <f>'City Introduction'!C228</f>
        <v>Sichuan</v>
      </c>
    </row>
    <row r="147" spans="1:3" x14ac:dyDescent="0.3">
      <c r="A147" s="1" t="str">
        <f>'City Introduction'!A229</f>
        <v>Muzaffarpur</v>
      </c>
      <c r="B147" s="1" t="str">
        <f>'City Introduction'!B229</f>
        <v>India</v>
      </c>
      <c r="C147" s="1" t="str">
        <f>'City Introduction'!C229</f>
        <v>Bihar</v>
      </c>
    </row>
    <row r="148" spans="1:3" x14ac:dyDescent="0.3">
      <c r="A148" s="1" t="str">
        <f>'City Introduction'!A230</f>
        <v>Houston</v>
      </c>
      <c r="B148" s="1" t="str">
        <f>'City Introduction'!B230</f>
        <v>USA</v>
      </c>
      <c r="C148" s="1" t="str">
        <f>'City Introduction'!C230</f>
        <v>Texas</v>
      </c>
    </row>
    <row r="149" spans="1:3" x14ac:dyDescent="0.3">
      <c r="A149" s="1" t="str">
        <f>'City Introduction'!A232</f>
        <v>Thane</v>
      </c>
      <c r="B149" s="1" t="str">
        <f>'City Introduction'!B232</f>
        <v>India</v>
      </c>
      <c r="C149" s="1" t="str">
        <f>'City Introduction'!C232</f>
        <v>Maharashtra</v>
      </c>
    </row>
    <row r="150" spans="1:3" x14ac:dyDescent="0.3">
      <c r="A150" s="1" t="str">
        <f>'City Introduction'!A233</f>
        <v>Bandung</v>
      </c>
      <c r="B150" s="1" t="str">
        <f>'City Introduction'!B233</f>
        <v>Indonesia</v>
      </c>
      <c r="C150" s="1">
        <f>'City Introduction'!C233</f>
        <v>0</v>
      </c>
    </row>
    <row r="151" spans="1:3" x14ac:dyDescent="0.3">
      <c r="A151" s="1" t="str">
        <f>'City Introduction'!A234</f>
        <v>Durgapur</v>
      </c>
      <c r="B151" s="1" t="str">
        <f>'City Introduction'!B234</f>
        <v>India</v>
      </c>
      <c r="C151" s="1" t="str">
        <f>'City Introduction'!C234</f>
        <v>West Bengal</v>
      </c>
    </row>
    <row r="152" spans="1:3" x14ac:dyDescent="0.3">
      <c r="A152" s="1" t="str">
        <f>'City Introduction'!A235</f>
        <v>Abuja</v>
      </c>
      <c r="B152" s="1" t="str">
        <f>'City Introduction'!B235</f>
        <v>Nigeria</v>
      </c>
      <c r="C152" s="1">
        <f>'City Introduction'!C235</f>
        <v>0</v>
      </c>
    </row>
    <row r="153" spans="1:3" x14ac:dyDescent="0.3">
      <c r="A153" s="1" t="str">
        <f>'City Introduction'!A236</f>
        <v>Gwalior</v>
      </c>
      <c r="B153" s="1" t="str">
        <f>'City Introduction'!B236</f>
        <v>India</v>
      </c>
      <c r="C153" s="1" t="str">
        <f>'City Introduction'!C236</f>
        <v>Madhya Pradesh</v>
      </c>
    </row>
    <row r="154" spans="1:3" x14ac:dyDescent="0.3">
      <c r="A154" s="1" t="str">
        <f>'City Introduction'!A237</f>
        <v>Fortaleza</v>
      </c>
      <c r="B154" s="1" t="str">
        <f>'City Introduction'!B237</f>
        <v>Brazil</v>
      </c>
      <c r="C154" s="1">
        <f>'City Introduction'!C237</f>
        <v>0</v>
      </c>
    </row>
    <row r="155" spans="1:3" x14ac:dyDescent="0.3">
      <c r="A155" s="1" t="str">
        <f>'City Introduction'!A239</f>
        <v>Bikaner</v>
      </c>
      <c r="B155" s="1" t="str">
        <f>'City Introduction'!B239</f>
        <v>India</v>
      </c>
      <c r="C155" s="1" t="str">
        <f>'City Introduction'!C239</f>
        <v>Rajasthan</v>
      </c>
    </row>
    <row r="156" spans="1:3" x14ac:dyDescent="0.3">
      <c r="A156" s="1" t="str">
        <f>'City Introduction'!A240</f>
        <v>Brahmanbaria</v>
      </c>
      <c r="B156" s="1" t="str">
        <f>'City Introduction'!B240</f>
        <v>Bangladesh</v>
      </c>
      <c r="C156" s="1">
        <f>'City Introduction'!C240</f>
        <v>0</v>
      </c>
    </row>
    <row r="157" spans="1:3" x14ac:dyDescent="0.3">
      <c r="A157" s="1" t="str">
        <f>'City Introduction'!A241</f>
        <v>Tiruchirappalli</v>
      </c>
      <c r="B157" s="1" t="str">
        <f>'City Introduction'!B241</f>
        <v>India</v>
      </c>
      <c r="C157" s="1" t="str">
        <f>'City Introduction'!C241</f>
        <v>Tamil Nadu</v>
      </c>
    </row>
    <row r="158" spans="1:3" x14ac:dyDescent="0.3">
      <c r="A158" s="1" t="str">
        <f>'City Introduction'!A242</f>
        <v>Yekaterinburg</v>
      </c>
      <c r="B158" s="1" t="str">
        <f>'City Introduction'!B242</f>
        <v>Russia</v>
      </c>
      <c r="C158" s="1">
        <f>'City Introduction'!C242</f>
        <v>0</v>
      </c>
    </row>
    <row r="159" spans="1:3" x14ac:dyDescent="0.3">
      <c r="A159" s="1" t="str">
        <f>'City Introduction'!A244</f>
        <v>Rajkot</v>
      </c>
      <c r="B159" s="1" t="str">
        <f>'City Introduction'!B244</f>
        <v>India</v>
      </c>
      <c r="C159" s="1" t="str">
        <f>'City Introduction'!C244</f>
        <v>Gujarat</v>
      </c>
    </row>
    <row r="160" spans="1:3" x14ac:dyDescent="0.3">
      <c r="A160" s="1" t="str">
        <f>'City Introduction'!A245</f>
        <v>Dire Dawa</v>
      </c>
      <c r="B160" s="1" t="str">
        <f>'City Introduction'!B245</f>
        <v>Ethiopia</v>
      </c>
      <c r="C160" s="1">
        <f>'City Introduction'!C245</f>
        <v>0</v>
      </c>
    </row>
    <row r="161" spans="1:3" x14ac:dyDescent="0.3">
      <c r="A161" s="1" t="str">
        <f>'City Introduction'!A246</f>
        <v>Mangaluru</v>
      </c>
      <c r="B161" s="1" t="str">
        <f>'City Introduction'!B246</f>
        <v>India</v>
      </c>
      <c r="C161" s="1" t="str">
        <f>'City Introduction'!C246</f>
        <v>Karnataka</v>
      </c>
    </row>
    <row r="162" spans="1:3" x14ac:dyDescent="0.3">
      <c r="A162" s="1" t="str">
        <f>'City Introduction'!A247</f>
        <v>Puebla</v>
      </c>
      <c r="B162" s="1" t="str">
        <f>'City Introduction'!B247</f>
        <v>Mexico</v>
      </c>
      <c r="C162" s="1">
        <f>'City Introduction'!C247</f>
        <v>0</v>
      </c>
    </row>
    <row r="163" spans="1:3" x14ac:dyDescent="0.3">
      <c r="A163" s="1" t="str">
        <f>'City Introduction'!A249</f>
        <v>Nellore</v>
      </c>
      <c r="B163" s="1" t="str">
        <f>'City Introduction'!B249</f>
        <v>India</v>
      </c>
      <c r="C163" s="1" t="str">
        <f>'City Introduction'!C249</f>
        <v>Andhra Pradesh</v>
      </c>
    </row>
    <row r="164" spans="1:3" x14ac:dyDescent="0.3">
      <c r="A164" s="1" t="str">
        <f>'City Introduction'!A250</f>
        <v>Nagoya</v>
      </c>
      <c r="B164" s="1" t="str">
        <f>'City Introduction'!B250</f>
        <v>Japan</v>
      </c>
      <c r="C164" s="1">
        <f>'City Introduction'!C250</f>
        <v>0</v>
      </c>
    </row>
    <row r="165" spans="1:3" x14ac:dyDescent="0.3">
      <c r="A165" s="1" t="str">
        <f>'City Introduction'!A251</f>
        <v>Brahmapur</v>
      </c>
      <c r="B165" s="1" t="str">
        <f>'City Introduction'!B251</f>
        <v>India</v>
      </c>
      <c r="C165" s="1" t="str">
        <f>'City Introduction'!C251</f>
        <v>Odisha</v>
      </c>
    </row>
    <row r="166" spans="1:3" x14ac:dyDescent="0.3">
      <c r="A166" s="1" t="str">
        <f>'City Introduction'!A252</f>
        <v>Giza</v>
      </c>
      <c r="B166" s="1" t="str">
        <f>'City Introduction'!B252</f>
        <v>Egypt</v>
      </c>
      <c r="C166" s="1">
        <f>'City Introduction'!C252</f>
        <v>0</v>
      </c>
    </row>
    <row r="167" spans="1:3" x14ac:dyDescent="0.3">
      <c r="A167" s="1" t="str">
        <f>'City Introduction'!A254</f>
        <v>Karimnagar</v>
      </c>
      <c r="B167" s="1" t="str">
        <f>'City Introduction'!B254</f>
        <v>India</v>
      </c>
      <c r="C167" s="1" t="str">
        <f>'City Introduction'!C254</f>
        <v>Telangana</v>
      </c>
    </row>
    <row r="168" spans="1:3" x14ac:dyDescent="0.3">
      <c r="A168" s="1" t="str">
        <f>'City Introduction'!A255</f>
        <v>Caloocan</v>
      </c>
      <c r="B168" s="1" t="str">
        <f>'City Introduction'!B255</f>
        <v>Philippines</v>
      </c>
      <c r="C168" s="1" t="str">
        <f>'City Introduction'!C255</f>
        <v>Federal</v>
      </c>
    </row>
    <row r="169" spans="1:3" x14ac:dyDescent="0.3">
      <c r="A169" s="1" t="str">
        <f>'City Introduction'!A256</f>
        <v>Kollam</v>
      </c>
      <c r="B169" s="1" t="str">
        <f>'City Introduction'!B256</f>
        <v>India</v>
      </c>
      <c r="C169" s="1" t="str">
        <f>'City Introduction'!C256</f>
        <v>Kerala</v>
      </c>
    </row>
    <row r="170" spans="1:3" x14ac:dyDescent="0.3">
      <c r="A170" s="1" t="str">
        <f>'City Introduction'!A257</f>
        <v>Mbuji-Mayi</v>
      </c>
      <c r="B170" s="1" t="str">
        <f>'City Introduction'!B257</f>
        <v>DR Congo</v>
      </c>
      <c r="C170" s="1">
        <f>'City Introduction'!C257</f>
        <v>0</v>
      </c>
    </row>
    <row r="171" spans="1:3" x14ac:dyDescent="0.3">
      <c r="A171" s="1" t="str">
        <f>'City Introduction'!A259</f>
        <v>Bokaro Steel City</v>
      </c>
      <c r="B171" s="1" t="str">
        <f>'City Introduction'!B259</f>
        <v>India</v>
      </c>
      <c r="C171" s="1" t="str">
        <f>'City Introduction'!C259</f>
        <v>Jharkhand</v>
      </c>
    </row>
    <row r="172" spans="1:3" x14ac:dyDescent="0.3">
      <c r="A172" s="1" t="str">
        <f>'City Introduction'!A260</f>
        <v>Da Nang</v>
      </c>
      <c r="B172" s="1" t="str">
        <f>'City Introduction'!B260</f>
        <v>Vietnam</v>
      </c>
      <c r="C172" s="1">
        <f>'City Introduction'!C260</f>
        <v>0</v>
      </c>
    </row>
    <row r="173" spans="1:3" x14ac:dyDescent="0.3">
      <c r="A173" s="1" t="str">
        <f>'City Introduction'!A261</f>
        <v>Jorhat</v>
      </c>
      <c r="B173" s="1" t="str">
        <f>'City Introduction'!B261</f>
        <v>India</v>
      </c>
      <c r="C173" s="1" t="str">
        <f>'City Introduction'!C261</f>
        <v>Assam</v>
      </c>
    </row>
    <row r="174" spans="1:3" x14ac:dyDescent="0.3">
      <c r="A174" s="1" t="str">
        <f>'City Introduction'!A264</f>
        <v>Patiala</v>
      </c>
      <c r="B174" s="1" t="str">
        <f>'City Introduction'!B264</f>
        <v>India</v>
      </c>
      <c r="C174" s="1" t="str">
        <f>'City Introduction'!C264</f>
        <v>Punjab</v>
      </c>
    </row>
    <row r="175" spans="1:3" x14ac:dyDescent="0.3">
      <c r="A175" s="1" t="str">
        <f>'City Introduction'!A266</f>
        <v>Bilaspur</v>
      </c>
      <c r="B175" s="1" t="str">
        <f>'City Introduction'!B266</f>
        <v>India</v>
      </c>
      <c r="C175" s="1" t="str">
        <f>'City Introduction'!C266</f>
        <v>Chattisgarh</v>
      </c>
    </row>
    <row r="176" spans="1:3" x14ac:dyDescent="0.3">
      <c r="A176" s="1" t="str">
        <f>'City Introduction'!A269</f>
        <v>Hisar</v>
      </c>
      <c r="B176" s="1" t="str">
        <f>'City Introduction'!B269</f>
        <v>India</v>
      </c>
      <c r="C176" s="1" t="str">
        <f>'City Introduction'!C269</f>
        <v>Haryana</v>
      </c>
    </row>
    <row r="177" spans="1:3" x14ac:dyDescent="0.3">
      <c r="A177" s="1" t="str">
        <f>'City Introduction'!A271</f>
        <v>Udhampur</v>
      </c>
      <c r="B177" s="1" t="str">
        <f>'City Introduction'!B271</f>
        <v>India</v>
      </c>
      <c r="C177" s="1" t="str">
        <f>'City Introduction'!C271</f>
        <v>Jammu and Kashmir</v>
      </c>
    </row>
    <row r="178" spans="1:3" x14ac:dyDescent="0.3">
      <c r="A178" s="1" t="str">
        <f>'City Introduction'!A273</f>
        <v>Haldwani - Kathgodam</v>
      </c>
      <c r="B178" s="1" t="str">
        <f>'City Introduction'!B273</f>
        <v>India</v>
      </c>
      <c r="C178" s="1" t="str">
        <f>'City Introduction'!C273</f>
        <v>Uttarakhand</v>
      </c>
    </row>
    <row r="179" spans="1:3" x14ac:dyDescent="0.3">
      <c r="A179" s="1" t="str">
        <f>'City Introduction'!A275</f>
        <v>Solan</v>
      </c>
      <c r="B179" s="1" t="str">
        <f>'City Introduction'!B275</f>
        <v>India</v>
      </c>
      <c r="C179" s="1" t="str">
        <f>'City Introduction'!C275</f>
        <v>Himachal Pradesh</v>
      </c>
    </row>
    <row r="180" spans="1:3" x14ac:dyDescent="0.3">
      <c r="A180" s="1" t="str">
        <f>'City Introduction'!A277</f>
        <v>Kailashahar</v>
      </c>
      <c r="B180" s="1" t="str">
        <f>'City Introduction'!B277</f>
        <v>India</v>
      </c>
      <c r="C180" s="1" t="str">
        <f>'City Introduction'!C277</f>
        <v>Tripura</v>
      </c>
    </row>
    <row r="181" spans="1:3" x14ac:dyDescent="0.3">
      <c r="A181" s="1" t="str">
        <f>'City Introduction'!A279</f>
        <v>Jowai</v>
      </c>
      <c r="B181" s="1" t="str">
        <f>'City Introduction'!B279</f>
        <v>India</v>
      </c>
      <c r="C181" s="1" t="str">
        <f>'City Introduction'!C279</f>
        <v>Meghalaya</v>
      </c>
    </row>
    <row r="182" spans="1:3" x14ac:dyDescent="0.3">
      <c r="A182" s="1" t="str">
        <f>'City Introduction'!A281</f>
        <v>Kakching</v>
      </c>
      <c r="B182" s="1" t="str">
        <f>'City Introduction'!B281</f>
        <v>India</v>
      </c>
      <c r="C182" s="1" t="str">
        <f>'City Introduction'!C281</f>
        <v>Manipur</v>
      </c>
    </row>
    <row r="183" spans="1:3" x14ac:dyDescent="0.3">
      <c r="A183" s="1" t="str">
        <f>'City Introduction'!A283</f>
        <v>Mokokchung</v>
      </c>
      <c r="B183" s="1" t="str">
        <f>'City Introduction'!B283</f>
        <v>India</v>
      </c>
      <c r="C183" s="1" t="str">
        <f>'City Introduction'!C283</f>
        <v>Nagaland</v>
      </c>
    </row>
    <row r="184" spans="1:3" x14ac:dyDescent="0.3">
      <c r="A184" s="1" t="str">
        <f>'City Introduction'!A285</f>
        <v>Mapusa</v>
      </c>
      <c r="B184" s="1" t="str">
        <f>'City Introduction'!B285</f>
        <v>India</v>
      </c>
      <c r="C184" s="1" t="str">
        <f>'City Introduction'!C285</f>
        <v>Goa</v>
      </c>
    </row>
    <row r="185" spans="1:3" x14ac:dyDescent="0.3">
      <c r="A185" s="1" t="str">
        <f>'City Introduction'!A287</f>
        <v>Aalo</v>
      </c>
      <c r="B185" s="1" t="str">
        <f>'City Introduction'!B287</f>
        <v>India</v>
      </c>
      <c r="C185" s="1" t="str">
        <f>'City Introduction'!C287</f>
        <v>Arunachal Pradesh</v>
      </c>
    </row>
    <row r="186" spans="1:3" x14ac:dyDescent="0.3">
      <c r="A186" s="1" t="str">
        <f>'City Introduction'!A289</f>
        <v>Saiha</v>
      </c>
      <c r="B186" s="1" t="str">
        <f>'City Introduction'!B289</f>
        <v>India</v>
      </c>
      <c r="C186" s="1" t="str">
        <f>'City Introduction'!C289</f>
        <v>Mizoram</v>
      </c>
    </row>
    <row r="187" spans="1:3" x14ac:dyDescent="0.3">
      <c r="A187" s="1" t="str">
        <f>'City Introduction'!A291</f>
        <v>Jorethang</v>
      </c>
      <c r="B187" s="1" t="str">
        <f>'City Introduction'!B291</f>
        <v>India</v>
      </c>
      <c r="C187" s="1" t="str">
        <f>'City Introduction'!C291</f>
        <v>Sikkim</v>
      </c>
    </row>
    <row r="188" spans="1:3" x14ac:dyDescent="0.3">
      <c r="A188" s="1" t="str">
        <f>'City Introduction'!A293</f>
        <v>Dadra</v>
      </c>
      <c r="B188" s="1" t="str">
        <f>'City Introduction'!B293</f>
        <v>India</v>
      </c>
      <c r="C188" s="1" t="str">
        <f>'City Introduction'!C293</f>
        <v xml:space="preserve">Dadra and Nagar Haveli </v>
      </c>
    </row>
    <row r="189" spans="1:3" x14ac:dyDescent="0.3">
      <c r="A189" s="1" t="str">
        <f>'City Introduction'!A295</f>
        <v>Diu</v>
      </c>
      <c r="B189" s="1" t="str">
        <f>'City Introduction'!B295</f>
        <v>India</v>
      </c>
      <c r="C189" s="1" t="str">
        <f>'City Introduction'!C295</f>
        <v>Daman and Diu</v>
      </c>
    </row>
    <row r="190" spans="1:3" x14ac:dyDescent="0.3">
      <c r="A190" s="1" t="str">
        <f>'City Introduction'!A297</f>
        <v>Bambooflat</v>
      </c>
      <c r="B190" s="1" t="str">
        <f>'City Introduction'!B297</f>
        <v>India</v>
      </c>
      <c r="C190" s="1" t="str">
        <f>'City Introduction'!C297</f>
        <v>Andaman and Nicobar Islands</v>
      </c>
    </row>
    <row r="191" spans="1:3" x14ac:dyDescent="0.3">
      <c r="A191" s="1" t="str">
        <f>'City Introduction'!A299</f>
        <v>Spituk</v>
      </c>
      <c r="B191" s="1" t="str">
        <f>'City Introduction'!B299</f>
        <v>India</v>
      </c>
      <c r="C191" s="1" t="str">
        <f>'City Introduction'!C299</f>
        <v>Ladakh</v>
      </c>
    </row>
    <row r="192" spans="1:3" x14ac:dyDescent="0.3">
      <c r="A192" s="1" t="str">
        <f>'City Introduction'!A300</f>
        <v>Varanasi</v>
      </c>
      <c r="B192" s="1" t="str">
        <f>'City Introduction'!B300</f>
        <v>India</v>
      </c>
      <c r="C192" s="1" t="str">
        <f>'City Introduction'!C300</f>
        <v>Uttar Pradesh</v>
      </c>
    </row>
    <row r="193" spans="1:3" x14ac:dyDescent="0.3">
      <c r="A193" s="1" t="str">
        <f>'City Introduction'!A301</f>
        <v>Guangzhou</v>
      </c>
      <c r="B193" s="1" t="str">
        <f>'City Introduction'!B301</f>
        <v>China</v>
      </c>
      <c r="C193" s="1" t="str">
        <f>'City Introduction'!C301</f>
        <v>Guangdong</v>
      </c>
    </row>
    <row r="194" spans="1:3" x14ac:dyDescent="0.3">
      <c r="A194" s="1" t="str">
        <f>'City Introduction'!A302</f>
        <v>Bihar Sharif</v>
      </c>
      <c r="B194" s="1" t="str">
        <f>'City Introduction'!B302</f>
        <v>India</v>
      </c>
      <c r="C194" s="1" t="str">
        <f>'City Introduction'!C302</f>
        <v>Bihar</v>
      </c>
    </row>
    <row r="195" spans="1:3" x14ac:dyDescent="0.3">
      <c r="A195" s="1" t="str">
        <f>'City Introduction'!A303</f>
        <v>Phoenix</v>
      </c>
      <c r="B195" s="1" t="str">
        <f>'City Introduction'!B303</f>
        <v>USA</v>
      </c>
      <c r="C195" s="1" t="str">
        <f>'City Introduction'!C303</f>
        <v>Arizona</v>
      </c>
    </row>
    <row r="196" spans="1:3" x14ac:dyDescent="0.3">
      <c r="A196" s="1" t="str">
        <f>'City Introduction'!A305</f>
        <v>Chhatrapati Sambhajinagar</v>
      </c>
      <c r="B196" s="1" t="str">
        <f>'City Introduction'!B305</f>
        <v>India</v>
      </c>
      <c r="C196" s="1" t="str">
        <f>'City Introduction'!C305</f>
        <v>Maharashtra</v>
      </c>
    </row>
    <row r="197" spans="1:3" x14ac:dyDescent="0.3">
      <c r="A197" s="1" t="str">
        <f>'City Introduction'!A306</f>
        <v>Medan</v>
      </c>
      <c r="B197" s="1" t="str">
        <f>'City Introduction'!B306</f>
        <v>Indonesia</v>
      </c>
      <c r="C197" s="1">
        <f>'City Introduction'!C306</f>
        <v>0</v>
      </c>
    </row>
    <row r="198" spans="1:3" x14ac:dyDescent="0.3">
      <c r="A198" s="1" t="str">
        <f>'City Introduction'!A307</f>
        <v>Bardhaman</v>
      </c>
      <c r="B198" s="1" t="str">
        <f>'City Introduction'!B307</f>
        <v>India</v>
      </c>
      <c r="C198" s="1" t="str">
        <f>'City Introduction'!C307</f>
        <v>West Bengal</v>
      </c>
    </row>
    <row r="199" spans="1:3" x14ac:dyDescent="0.3">
      <c r="A199" s="1" t="str">
        <f>'City Introduction'!A308</f>
        <v>Port Harcourt</v>
      </c>
      <c r="B199" s="1" t="str">
        <f>'City Introduction'!B308</f>
        <v>Nigeria</v>
      </c>
      <c r="C199" s="1">
        <f>'City Introduction'!C308</f>
        <v>0</v>
      </c>
    </row>
    <row r="200" spans="1:3" x14ac:dyDescent="0.3">
      <c r="A200" s="1" t="str">
        <f>'City Introduction'!A309</f>
        <v>Ujjain</v>
      </c>
      <c r="B200" s="1" t="str">
        <f>'City Introduction'!B309</f>
        <v>India</v>
      </c>
      <c r="C200" s="1" t="str">
        <f>'City Introduction'!C309</f>
        <v>Madhya Pradesh</v>
      </c>
    </row>
    <row r="201" spans="1:3" x14ac:dyDescent="0.3">
      <c r="A201" s="1" t="str">
        <f>'City Introduction'!A310</f>
        <v>Salvador</v>
      </c>
      <c r="B201" s="1" t="str">
        <f>'City Introduction'!B310</f>
        <v>Brazil</v>
      </c>
      <c r="C201" s="1">
        <f>'City Introduction'!C310</f>
        <v>0</v>
      </c>
    </row>
    <row r="202" spans="1:3" x14ac:dyDescent="0.3">
      <c r="A202" s="1" t="str">
        <f>'City Introduction'!A312</f>
        <v>Bhiwadi</v>
      </c>
      <c r="B202" s="1" t="str">
        <f>'City Introduction'!B312</f>
        <v>India</v>
      </c>
      <c r="C202" s="1" t="str">
        <f>'City Introduction'!C312</f>
        <v>Rajasthan</v>
      </c>
    </row>
    <row r="203" spans="1:3" x14ac:dyDescent="0.3">
      <c r="A203" s="1" t="str">
        <f>'City Introduction'!A313</f>
        <v>Kishoreganj</v>
      </c>
      <c r="B203" s="1" t="str">
        <f>'City Introduction'!B313</f>
        <v>Bangladesh</v>
      </c>
      <c r="C203" s="1">
        <f>'City Introduction'!C313</f>
        <v>0</v>
      </c>
    </row>
    <row r="204" spans="1:3" x14ac:dyDescent="0.3">
      <c r="A204" s="1" t="str">
        <f>'City Introduction'!A314</f>
        <v>Salem</v>
      </c>
      <c r="B204" s="1" t="str">
        <f>'City Introduction'!B314</f>
        <v>India</v>
      </c>
      <c r="C204" s="1" t="str">
        <f>'City Introduction'!C314</f>
        <v>Tamil Nadu</v>
      </c>
    </row>
    <row r="205" spans="1:3" x14ac:dyDescent="0.3">
      <c r="A205" s="1" t="str">
        <f>'City Introduction'!A315</f>
        <v>Kazan</v>
      </c>
      <c r="B205" s="1" t="str">
        <f>'City Introduction'!B315</f>
        <v>Russia</v>
      </c>
      <c r="C205" s="1">
        <f>'City Introduction'!C315</f>
        <v>0</v>
      </c>
    </row>
    <row r="206" spans="1:3" x14ac:dyDescent="0.3">
      <c r="A206" s="1" t="str">
        <f>'City Introduction'!A317</f>
        <v>Bhavnagar</v>
      </c>
      <c r="B206" s="1" t="str">
        <f>'City Introduction'!B317</f>
        <v>India</v>
      </c>
      <c r="C206" s="1" t="str">
        <f>'City Introduction'!C317</f>
        <v>Gujarat</v>
      </c>
    </row>
    <row r="207" spans="1:3" x14ac:dyDescent="0.3">
      <c r="A207" s="1" t="str">
        <f>'City Introduction'!A318</f>
        <v>Shashamane</v>
      </c>
      <c r="B207" s="1" t="str">
        <f>'City Introduction'!B318</f>
        <v>Ethiopia</v>
      </c>
      <c r="C207" s="1" t="str">
        <f>'City Introduction'!C318</f>
        <v>Oromia</v>
      </c>
    </row>
    <row r="208" spans="1:3" x14ac:dyDescent="0.3">
      <c r="A208" s="1" t="str">
        <f>'City Introduction'!A319</f>
        <v>Belagavi</v>
      </c>
      <c r="B208" s="1" t="str">
        <f>'City Introduction'!B319</f>
        <v>India</v>
      </c>
      <c r="C208" s="1" t="str">
        <f>'City Introduction'!C319</f>
        <v>Karnataka</v>
      </c>
    </row>
    <row r="209" spans="1:3" x14ac:dyDescent="0.3">
      <c r="A209" s="1" t="str">
        <f>'City Introduction'!A320</f>
        <v>Tijuana</v>
      </c>
      <c r="B209" s="1" t="str">
        <f>'City Introduction'!B320</f>
        <v>Mexico</v>
      </c>
      <c r="C209" s="1" t="str">
        <f>'City Introduction'!C320</f>
        <v>Baja California</v>
      </c>
    </row>
    <row r="210" spans="1:3" x14ac:dyDescent="0.3">
      <c r="A210" s="1" t="str">
        <f>'City Introduction'!A322</f>
        <v>Kurnool</v>
      </c>
      <c r="B210" s="1" t="str">
        <f>'City Introduction'!B322</f>
        <v>India</v>
      </c>
      <c r="C210" s="1" t="str">
        <f>'City Introduction'!C322</f>
        <v>Andhra Pradesh</v>
      </c>
    </row>
    <row r="211" spans="1:3" x14ac:dyDescent="0.3">
      <c r="A211" s="1" t="str">
        <f>'City Introduction'!A323</f>
        <v>Sapporo</v>
      </c>
      <c r="B211" s="1" t="str">
        <f>'City Introduction'!B323</f>
        <v>Japan</v>
      </c>
      <c r="C211" s="1" t="str">
        <f>'City Introduction'!C323</f>
        <v>Hokkaido</v>
      </c>
    </row>
    <row r="212" spans="1:3" x14ac:dyDescent="0.3">
      <c r="A212" s="1" t="str">
        <f>'City Introduction'!A324</f>
        <v>Sambalpur</v>
      </c>
      <c r="B212" s="1" t="str">
        <f>'City Introduction'!B324</f>
        <v>India</v>
      </c>
      <c r="C212" s="1" t="str">
        <f>'City Introduction'!C324</f>
        <v>Odisha</v>
      </c>
    </row>
    <row r="213" spans="1:3" x14ac:dyDescent="0.3">
      <c r="A213" s="1" t="str">
        <f>'City Introduction'!A325</f>
        <v>Banha</v>
      </c>
      <c r="B213" s="1" t="str">
        <f>'City Introduction'!B325</f>
        <v>Egypt</v>
      </c>
      <c r="C213" s="1">
        <f>'City Introduction'!C325</f>
        <v>0</v>
      </c>
    </row>
    <row r="214" spans="1:3" x14ac:dyDescent="0.3">
      <c r="A214" s="1" t="str">
        <f>'City Introduction'!A327</f>
        <v>Khammam</v>
      </c>
      <c r="B214" s="1" t="str">
        <f>'City Introduction'!B327</f>
        <v>India</v>
      </c>
      <c r="C214" s="1" t="str">
        <f>'City Introduction'!C327</f>
        <v>Telangana</v>
      </c>
    </row>
    <row r="215" spans="1:3" x14ac:dyDescent="0.3">
      <c r="A215" s="1" t="str">
        <f>'City Introduction'!A328</f>
        <v>Taguig</v>
      </c>
      <c r="B215" s="1" t="str">
        <f>'City Introduction'!B328</f>
        <v>Philippines</v>
      </c>
      <c r="C215" s="1" t="str">
        <f>'City Introduction'!C328</f>
        <v>Federal</v>
      </c>
    </row>
    <row r="216" spans="1:3" x14ac:dyDescent="0.3">
      <c r="A216" s="1" t="str">
        <f>'City Introduction'!A329</f>
        <v>Thrissur</v>
      </c>
      <c r="B216" s="1" t="str">
        <f>'City Introduction'!B329</f>
        <v>India</v>
      </c>
      <c r="C216" s="1" t="str">
        <f>'City Introduction'!C329</f>
        <v>Kerala</v>
      </c>
    </row>
    <row r="217" spans="1:3" x14ac:dyDescent="0.3">
      <c r="A217" s="1" t="str">
        <f>'City Introduction'!A330</f>
        <v>Kisangani</v>
      </c>
      <c r="B217" s="1" t="str">
        <f>'City Introduction'!B330</f>
        <v>DR Congo</v>
      </c>
      <c r="C217" s="1">
        <f>'City Introduction'!C330</f>
        <v>0</v>
      </c>
    </row>
    <row r="218" spans="1:3" x14ac:dyDescent="0.3">
      <c r="A218" s="1" t="str">
        <f>'City Introduction'!A332</f>
        <v>Deoghar</v>
      </c>
      <c r="B218" s="1" t="str">
        <f>'City Introduction'!B332</f>
        <v>India</v>
      </c>
      <c r="C218" s="1" t="str">
        <f>'City Introduction'!C332</f>
        <v>Jharkhand</v>
      </c>
    </row>
    <row r="219" spans="1:3" x14ac:dyDescent="0.3">
      <c r="A219" s="1" t="str">
        <f>'City Introduction'!A333</f>
        <v>Can Tho</v>
      </c>
      <c r="B219" s="1" t="str">
        <f>'City Introduction'!B333</f>
        <v>Vietnam</v>
      </c>
      <c r="C219" s="1">
        <f>'City Introduction'!C333</f>
        <v>0</v>
      </c>
    </row>
    <row r="220" spans="1:3" x14ac:dyDescent="0.3">
      <c r="A220" s="1" t="str">
        <f>'City Introduction'!A334</f>
        <v>Nagaon</v>
      </c>
      <c r="B220" s="1" t="str">
        <f>'City Introduction'!B334</f>
        <v>India</v>
      </c>
      <c r="C220" s="1" t="str">
        <f>'City Introduction'!C334</f>
        <v>Assam</v>
      </c>
    </row>
    <row r="221" spans="1:3" x14ac:dyDescent="0.3">
      <c r="A221" s="1" t="str">
        <f>'City Introduction'!A337</f>
        <v>Bathinda</v>
      </c>
      <c r="B221" s="1" t="str">
        <f>'City Introduction'!B337</f>
        <v>India</v>
      </c>
      <c r="C221" s="1" t="str">
        <f>'City Introduction'!C337</f>
        <v>Punjab</v>
      </c>
    </row>
    <row r="222" spans="1:3" x14ac:dyDescent="0.3">
      <c r="A222" s="1" t="str">
        <f>'City Introduction'!A339</f>
        <v>Rajnandgoan</v>
      </c>
      <c r="B222" s="1" t="str">
        <f>'City Introduction'!B339</f>
        <v>India</v>
      </c>
      <c r="C222" s="1" t="str">
        <f>'City Introduction'!C339</f>
        <v>Chattisgarh</v>
      </c>
    </row>
    <row r="223" spans="1:3" x14ac:dyDescent="0.3">
      <c r="A223" s="1" t="str">
        <f>'City Introduction'!A342</f>
        <v>Panipat</v>
      </c>
      <c r="B223" s="1" t="str">
        <f>'City Introduction'!B342</f>
        <v>India</v>
      </c>
      <c r="C223" s="1" t="str">
        <f>'City Introduction'!C342</f>
        <v>Haryana</v>
      </c>
    </row>
    <row r="224" spans="1:3" x14ac:dyDescent="0.3">
      <c r="A224" s="1" t="str">
        <f>'City Introduction'!A344</f>
        <v>Baramulla</v>
      </c>
      <c r="B224" s="1" t="str">
        <f>'City Introduction'!B344</f>
        <v>India</v>
      </c>
      <c r="C224" s="1" t="str">
        <f>'City Introduction'!C344</f>
        <v>Jammu and Kashmir</v>
      </c>
    </row>
    <row r="225" spans="1:3" x14ac:dyDescent="0.3">
      <c r="A225" s="1" t="str">
        <f>'City Introduction'!A346</f>
        <v>Rudrapur</v>
      </c>
      <c r="B225" s="1" t="str">
        <f>'City Introduction'!B346</f>
        <v>India</v>
      </c>
      <c r="C225" s="1" t="str">
        <f>'City Introduction'!C346</f>
        <v>Uttarakhand</v>
      </c>
    </row>
    <row r="226" spans="1:3" x14ac:dyDescent="0.3">
      <c r="A226" s="1" t="str">
        <f>'City Introduction'!A348</f>
        <v>Palampur</v>
      </c>
      <c r="B226" s="1" t="str">
        <f>'City Introduction'!B348</f>
        <v>India</v>
      </c>
      <c r="C226" s="1" t="str">
        <f>'City Introduction'!C348</f>
        <v>Himachal Pradesh</v>
      </c>
    </row>
    <row r="227" spans="1:3" x14ac:dyDescent="0.3">
      <c r="A227" s="1" t="str">
        <f>'City Introduction'!A350</f>
        <v>Bishalgarh</v>
      </c>
      <c r="B227" s="1" t="str">
        <f>'City Introduction'!B350</f>
        <v>India</v>
      </c>
      <c r="C227" s="1" t="str">
        <f>'City Introduction'!C350</f>
        <v>Tripura</v>
      </c>
    </row>
    <row r="228" spans="1:3" x14ac:dyDescent="0.3">
      <c r="A228" s="1" t="str">
        <f>'City Introduction'!A352</f>
        <v>Madanriting</v>
      </c>
      <c r="B228" s="1" t="str">
        <f>'City Introduction'!B352</f>
        <v>India</v>
      </c>
      <c r="C228" s="1" t="str">
        <f>'City Introduction'!C352</f>
        <v>Meghalaya</v>
      </c>
    </row>
    <row r="229" spans="1:3" x14ac:dyDescent="0.3">
      <c r="A229" s="1" t="str">
        <f>'City Introduction'!A354</f>
        <v>Senapati</v>
      </c>
      <c r="B229" s="1" t="str">
        <f>'City Introduction'!B354</f>
        <v>India</v>
      </c>
      <c r="C229" s="1" t="str">
        <f>'City Introduction'!C354</f>
        <v>Manipur</v>
      </c>
    </row>
    <row r="230" spans="1:3" x14ac:dyDescent="0.3">
      <c r="A230" s="1" t="str">
        <f>'City Introduction'!A356</f>
        <v>Wokha</v>
      </c>
      <c r="B230" s="1" t="str">
        <f>'City Introduction'!B356</f>
        <v>India</v>
      </c>
      <c r="C230" s="1" t="str">
        <f>'City Introduction'!C356</f>
        <v>Nagaland</v>
      </c>
    </row>
    <row r="231" spans="1:3" x14ac:dyDescent="0.3">
      <c r="A231" s="1" t="str">
        <f>'City Introduction'!A358</f>
        <v>Curchorem-Cacora</v>
      </c>
      <c r="B231" s="1" t="str">
        <f>'City Introduction'!B358</f>
        <v>India</v>
      </c>
      <c r="C231" s="1" t="str">
        <f>'City Introduction'!C358</f>
        <v>Goa</v>
      </c>
    </row>
    <row r="232" spans="1:3" x14ac:dyDescent="0.3">
      <c r="A232" s="1" t="str">
        <f>'City Introduction'!A360</f>
        <v>Tezu</v>
      </c>
      <c r="B232" s="1" t="str">
        <f>'City Introduction'!B360</f>
        <v>India</v>
      </c>
      <c r="C232" s="1" t="str">
        <f>'City Introduction'!C360</f>
        <v>Arunachal Pradesh</v>
      </c>
    </row>
    <row r="233" spans="1:3" x14ac:dyDescent="0.3">
      <c r="A233" s="1" t="str">
        <f>'City Introduction'!A362</f>
        <v>Kolasib</v>
      </c>
      <c r="B233" s="1" t="str">
        <f>'City Introduction'!B362</f>
        <v>India</v>
      </c>
      <c r="C233" s="1" t="str">
        <f>'City Introduction'!C362</f>
        <v>Mizoram</v>
      </c>
    </row>
    <row r="234" spans="1:3" x14ac:dyDescent="0.3">
      <c r="A234" s="1" t="str">
        <f>'City Introduction'!A364</f>
        <v>Rhenak</v>
      </c>
      <c r="B234" s="1" t="str">
        <f>'City Introduction'!B364</f>
        <v>India</v>
      </c>
      <c r="C234" s="1" t="str">
        <f>'City Introduction'!C364</f>
        <v>Sikkim</v>
      </c>
    </row>
    <row r="235" spans="1:3" x14ac:dyDescent="0.3">
      <c r="A235" s="1" t="str">
        <f>'City Introduction'!A366</f>
        <v>Kachigam</v>
      </c>
      <c r="B235" s="1" t="str">
        <f>'City Introduction'!B366</f>
        <v>India</v>
      </c>
      <c r="C235" s="1" t="str">
        <f>'City Introduction'!C366</f>
        <v>Daman and Diu</v>
      </c>
    </row>
    <row r="236" spans="1:3" x14ac:dyDescent="0.3">
      <c r="A236" s="1" t="str">
        <f>'City Introduction'!A368</f>
        <v>Bakutala</v>
      </c>
      <c r="B236" s="1" t="str">
        <f>'City Introduction'!B368</f>
        <v>India</v>
      </c>
      <c r="C236" s="1" t="str">
        <f>'City Introduction'!C368</f>
        <v>Andaman and Nicobar Islands</v>
      </c>
    </row>
    <row r="237" spans="1:3" x14ac:dyDescent="0.3">
      <c r="A237" s="1">
        <f>'City Introduction'!A369</f>
        <v>0</v>
      </c>
      <c r="B237" s="1">
        <f>'City Introduction'!B369</f>
        <v>0</v>
      </c>
      <c r="C237" s="1">
        <f>'City Introduction'!C369</f>
        <v>0</v>
      </c>
    </row>
    <row r="238" spans="1:3" x14ac:dyDescent="0.3">
      <c r="A238" s="1">
        <f>'City Introduction'!A370</f>
        <v>0</v>
      </c>
      <c r="B238" s="1">
        <f>'City Introduction'!B370</f>
        <v>0</v>
      </c>
      <c r="C238" s="1">
        <f>'City Introduction'!C370</f>
        <v>0</v>
      </c>
    </row>
    <row r="239" spans="1:3" x14ac:dyDescent="0.3">
      <c r="A239" s="1">
        <f>'City Introduction'!A371</f>
        <v>0</v>
      </c>
      <c r="B239" s="1">
        <f>'City Introduction'!B371</f>
        <v>0</v>
      </c>
      <c r="C239" s="1">
        <f>'City Introduction'!C371</f>
        <v>0</v>
      </c>
    </row>
    <row r="240" spans="1:3" x14ac:dyDescent="0.3">
      <c r="A240" s="1">
        <f>'City Introduction'!A372</f>
        <v>0</v>
      </c>
      <c r="B240" s="1">
        <f>'City Introduction'!B372</f>
        <v>0</v>
      </c>
      <c r="C240" s="1">
        <f>'City Introduction'!C372</f>
        <v>0</v>
      </c>
    </row>
    <row r="241" spans="1:3" x14ac:dyDescent="0.3">
      <c r="A241" s="1">
        <f>'City Introduction'!A373</f>
        <v>0</v>
      </c>
      <c r="B241" s="1">
        <f>'City Introduction'!B373</f>
        <v>0</v>
      </c>
      <c r="C241" s="1">
        <f>'City Introduction'!C373</f>
        <v>0</v>
      </c>
    </row>
    <row r="242" spans="1:3" x14ac:dyDescent="0.3">
      <c r="A242" s="1">
        <f>'City Introduction'!A374</f>
        <v>0</v>
      </c>
      <c r="B242" s="1">
        <f>'City Introduction'!B374</f>
        <v>0</v>
      </c>
      <c r="C242" s="1">
        <f>'City Introduction'!C374</f>
        <v>0</v>
      </c>
    </row>
    <row r="243" spans="1:3" x14ac:dyDescent="0.3">
      <c r="A243" s="1">
        <f>'City Introduction'!A375</f>
        <v>0</v>
      </c>
      <c r="B243" s="1">
        <f>'City Introduction'!B375</f>
        <v>0</v>
      </c>
      <c r="C243" s="1">
        <f>'City Introduction'!C375</f>
        <v>0</v>
      </c>
    </row>
    <row r="244" spans="1:3" x14ac:dyDescent="0.3">
      <c r="A244" s="1">
        <f>'City Introduction'!A376</f>
        <v>0</v>
      </c>
      <c r="B244" s="1">
        <f>'City Introduction'!B376</f>
        <v>0</v>
      </c>
      <c r="C244" s="1">
        <f>'City Introduction'!C376</f>
        <v>0</v>
      </c>
    </row>
    <row r="245" spans="1:3" x14ac:dyDescent="0.3">
      <c r="A245" s="1">
        <f>'City Introduction'!A377</f>
        <v>0</v>
      </c>
      <c r="B245" s="1">
        <f>'City Introduction'!B377</f>
        <v>0</v>
      </c>
      <c r="C245" s="1">
        <f>'City Introduction'!C377</f>
        <v>0</v>
      </c>
    </row>
    <row r="246" spans="1:3" x14ac:dyDescent="0.3">
      <c r="A246" s="1">
        <f>'City Introduction'!A378</f>
        <v>0</v>
      </c>
      <c r="B246" s="1">
        <f>'City Introduction'!B378</f>
        <v>0</v>
      </c>
      <c r="C246" s="1">
        <f>'City Introduction'!C378</f>
        <v>0</v>
      </c>
    </row>
    <row r="247" spans="1:3" x14ac:dyDescent="0.3">
      <c r="A247" s="1">
        <f>'City Introduction'!A379</f>
        <v>0</v>
      </c>
      <c r="B247" s="1">
        <f>'City Introduction'!B379</f>
        <v>0</v>
      </c>
      <c r="C247" s="1">
        <f>'City Introduction'!C379</f>
        <v>0</v>
      </c>
    </row>
    <row r="248" spans="1:3" x14ac:dyDescent="0.3">
      <c r="A248" s="1">
        <f>'City Introduction'!A380</f>
        <v>0</v>
      </c>
      <c r="B248" s="1">
        <f>'City Introduction'!B380</f>
        <v>0</v>
      </c>
      <c r="C248" s="1">
        <f>'City Introduction'!C380</f>
        <v>0</v>
      </c>
    </row>
    <row r="249" spans="1:3" x14ac:dyDescent="0.3">
      <c r="A249" s="1">
        <f>'City Introduction'!A381</f>
        <v>0</v>
      </c>
      <c r="B249" s="1">
        <f>'City Introduction'!B381</f>
        <v>0</v>
      </c>
      <c r="C249" s="1">
        <f>'City Introduction'!C381</f>
        <v>0</v>
      </c>
    </row>
    <row r="250" spans="1:3" x14ac:dyDescent="0.3">
      <c r="A250" s="1">
        <f>'City Introduction'!A382</f>
        <v>0</v>
      </c>
      <c r="B250" s="1">
        <f>'City Introduction'!B382</f>
        <v>0</v>
      </c>
      <c r="C250" s="1">
        <f>'City Introduction'!C382</f>
        <v>0</v>
      </c>
    </row>
    <row r="251" spans="1:3" x14ac:dyDescent="0.3">
      <c r="A251" s="1">
        <f>'City Introduction'!A383</f>
        <v>0</v>
      </c>
      <c r="B251" s="1">
        <f>'City Introduction'!B383</f>
        <v>0</v>
      </c>
      <c r="C251" s="1">
        <f>'City Introduction'!C383</f>
        <v>0</v>
      </c>
    </row>
    <row r="252" spans="1:3" x14ac:dyDescent="0.3">
      <c r="A252" s="1">
        <f>'City Introduction'!A384</f>
        <v>0</v>
      </c>
      <c r="B252" s="1">
        <f>'City Introduction'!B384</f>
        <v>0</v>
      </c>
      <c r="C252" s="1">
        <f>'City Introduction'!C384</f>
        <v>0</v>
      </c>
    </row>
    <row r="253" spans="1:3" x14ac:dyDescent="0.3">
      <c r="A253" s="1">
        <f>'City Introduction'!A385</f>
        <v>0</v>
      </c>
      <c r="B253" s="1">
        <f>'City Introduction'!B385</f>
        <v>0</v>
      </c>
      <c r="C253" s="1">
        <f>'City Introduction'!C385</f>
        <v>0</v>
      </c>
    </row>
    <row r="254" spans="1:3" x14ac:dyDescent="0.3">
      <c r="A254" s="1">
        <f>'City Introduction'!A386</f>
        <v>0</v>
      </c>
      <c r="B254" s="1">
        <f>'City Introduction'!B386</f>
        <v>0</v>
      </c>
      <c r="C254" s="1">
        <f>'City Introduction'!C386</f>
        <v>0</v>
      </c>
    </row>
    <row r="255" spans="1:3" x14ac:dyDescent="0.3">
      <c r="A255" s="1">
        <f>'City Introduction'!A387</f>
        <v>0</v>
      </c>
      <c r="B255" s="1">
        <f>'City Introduction'!B387</f>
        <v>0</v>
      </c>
      <c r="C255" s="1">
        <f>'City Introduction'!C387</f>
        <v>0</v>
      </c>
    </row>
    <row r="256" spans="1:3" x14ac:dyDescent="0.3">
      <c r="A256" s="1">
        <f>'City Introduction'!A388</f>
        <v>0</v>
      </c>
      <c r="B256" s="1">
        <f>'City Introduction'!B388</f>
        <v>0</v>
      </c>
      <c r="C256" s="1">
        <f>'City Introduction'!C388</f>
        <v>0</v>
      </c>
    </row>
    <row r="257" spans="1:3" x14ac:dyDescent="0.3">
      <c r="A257" s="1">
        <f>'City Introduction'!A389</f>
        <v>0</v>
      </c>
      <c r="B257" s="1">
        <f>'City Introduction'!B389</f>
        <v>0</v>
      </c>
      <c r="C257" s="1">
        <f>'City Introduction'!C389</f>
        <v>0</v>
      </c>
    </row>
    <row r="258" spans="1:3" x14ac:dyDescent="0.3">
      <c r="A258" s="1">
        <f>'City Introduction'!A390</f>
        <v>0</v>
      </c>
      <c r="B258" s="1">
        <f>'City Introduction'!B390</f>
        <v>0</v>
      </c>
      <c r="C258" s="1">
        <f>'City Introduction'!C390</f>
        <v>0</v>
      </c>
    </row>
    <row r="259" spans="1:3" x14ac:dyDescent="0.3">
      <c r="A259" s="1">
        <f>'City Introduction'!A391</f>
        <v>0</v>
      </c>
      <c r="B259" s="1">
        <f>'City Introduction'!B391</f>
        <v>0</v>
      </c>
      <c r="C259" s="1">
        <f>'City Introduction'!C391</f>
        <v>0</v>
      </c>
    </row>
    <row r="260" spans="1:3" x14ac:dyDescent="0.3">
      <c r="A260" s="1">
        <f>'City Introduction'!A392</f>
        <v>0</v>
      </c>
      <c r="B260" s="1">
        <f>'City Introduction'!B392</f>
        <v>0</v>
      </c>
      <c r="C260" s="1">
        <f>'City Introduction'!C392</f>
        <v>0</v>
      </c>
    </row>
    <row r="261" spans="1:3" x14ac:dyDescent="0.3">
      <c r="A261" s="1">
        <f>'City Introduction'!A393</f>
        <v>0</v>
      </c>
      <c r="B261" s="1">
        <f>'City Introduction'!B393</f>
        <v>0</v>
      </c>
      <c r="C261" s="1">
        <f>'City Introduction'!C393</f>
        <v>0</v>
      </c>
    </row>
    <row r="262" spans="1:3" x14ac:dyDescent="0.3">
      <c r="A262" s="1">
        <f>'City Introduction'!A394</f>
        <v>0</v>
      </c>
      <c r="B262" s="1">
        <f>'City Introduction'!B394</f>
        <v>0</v>
      </c>
      <c r="C262" s="1">
        <f>'City Introduction'!C394</f>
        <v>0</v>
      </c>
    </row>
    <row r="263" spans="1:3" x14ac:dyDescent="0.3">
      <c r="A263" s="1">
        <f>'City Introduction'!A395</f>
        <v>0</v>
      </c>
      <c r="B263" s="1">
        <f>'City Introduction'!B395</f>
        <v>0</v>
      </c>
      <c r="C263" s="1">
        <f>'City Introduction'!C395</f>
        <v>0</v>
      </c>
    </row>
    <row r="264" spans="1:3" x14ac:dyDescent="0.3">
      <c r="A264" s="1">
        <f>'City Introduction'!A396</f>
        <v>0</v>
      </c>
      <c r="B264" s="1">
        <f>'City Introduction'!B396</f>
        <v>0</v>
      </c>
      <c r="C264" s="1">
        <f>'City Introduction'!C396</f>
        <v>0</v>
      </c>
    </row>
    <row r="265" spans="1:3" x14ac:dyDescent="0.3">
      <c r="A265" s="1">
        <f>'City Introduction'!A397</f>
        <v>0</v>
      </c>
      <c r="B265" s="1">
        <f>'City Introduction'!B397</f>
        <v>0</v>
      </c>
      <c r="C265" s="1">
        <f>'City Introduction'!C397</f>
        <v>0</v>
      </c>
    </row>
    <row r="266" spans="1:3" x14ac:dyDescent="0.3">
      <c r="A266" s="1">
        <f>'City Introduction'!A398</f>
        <v>0</v>
      </c>
      <c r="B266" s="1">
        <f>'City Introduction'!B398</f>
        <v>0</v>
      </c>
      <c r="C266" s="1">
        <f>'City Introduction'!C398</f>
        <v>0</v>
      </c>
    </row>
    <row r="267" spans="1:3" x14ac:dyDescent="0.3">
      <c r="A267" s="1">
        <f>'City Introduction'!A399</f>
        <v>0</v>
      </c>
      <c r="B267" s="1">
        <f>'City Introduction'!B399</f>
        <v>0</v>
      </c>
      <c r="C267" s="1">
        <f>'City Introduction'!C399</f>
        <v>0</v>
      </c>
    </row>
    <row r="268" spans="1:3" x14ac:dyDescent="0.3">
      <c r="A268" s="1">
        <f>'City Introduction'!A400</f>
        <v>0</v>
      </c>
      <c r="B268" s="1">
        <f>'City Introduction'!B400</f>
        <v>0</v>
      </c>
      <c r="C268" s="1">
        <f>'City Introduction'!C400</f>
        <v>0</v>
      </c>
    </row>
    <row r="269" spans="1:3" x14ac:dyDescent="0.3">
      <c r="A269" s="1">
        <f>'City Introduction'!A401</f>
        <v>0</v>
      </c>
      <c r="B269" s="1">
        <f>'City Introduction'!B401</f>
        <v>0</v>
      </c>
      <c r="C269" s="1">
        <f>'City Introduction'!C401</f>
        <v>0</v>
      </c>
    </row>
    <row r="270" spans="1:3" x14ac:dyDescent="0.3">
      <c r="A270" s="1">
        <f>'City Introduction'!A402</f>
        <v>0</v>
      </c>
      <c r="B270" s="1">
        <f>'City Introduction'!B402</f>
        <v>0</v>
      </c>
      <c r="C270" s="1">
        <f>'City Introduction'!C402</f>
        <v>0</v>
      </c>
    </row>
    <row r="271" spans="1:3" x14ac:dyDescent="0.3">
      <c r="A271" s="1">
        <f>'City Introduction'!A403</f>
        <v>0</v>
      </c>
      <c r="B271" s="1">
        <f>'City Introduction'!B403</f>
        <v>0</v>
      </c>
      <c r="C271" s="1">
        <f>'City Introduction'!C403</f>
        <v>0</v>
      </c>
    </row>
    <row r="272" spans="1:3" x14ac:dyDescent="0.3">
      <c r="A272" s="1">
        <f>'City Introduction'!A404</f>
        <v>0</v>
      </c>
      <c r="B272" s="1">
        <f>'City Introduction'!B404</f>
        <v>0</v>
      </c>
      <c r="C272" s="1">
        <f>'City Introduction'!C404</f>
        <v>0</v>
      </c>
    </row>
    <row r="273" spans="1:3" x14ac:dyDescent="0.3">
      <c r="A273" s="1">
        <f>'City Introduction'!A405</f>
        <v>0</v>
      </c>
      <c r="B273" s="1">
        <f>'City Introduction'!B405</f>
        <v>0</v>
      </c>
      <c r="C273" s="1">
        <f>'City Introduction'!C405</f>
        <v>0</v>
      </c>
    </row>
    <row r="274" spans="1:3" x14ac:dyDescent="0.3">
      <c r="A274" s="1">
        <f>'City Introduction'!A406</f>
        <v>0</v>
      </c>
      <c r="B274" s="1">
        <f>'City Introduction'!B406</f>
        <v>0</v>
      </c>
      <c r="C274" s="1">
        <f>'City Introduction'!C406</f>
        <v>0</v>
      </c>
    </row>
    <row r="275" spans="1:3" x14ac:dyDescent="0.3">
      <c r="A275" s="1">
        <f>'City Introduction'!A407</f>
        <v>0</v>
      </c>
      <c r="B275" s="1">
        <f>'City Introduction'!B407</f>
        <v>0</v>
      </c>
      <c r="C275" s="1">
        <f>'City Introduction'!C407</f>
        <v>0</v>
      </c>
    </row>
    <row r="276" spans="1:3" x14ac:dyDescent="0.3">
      <c r="A276" s="1">
        <f>'City Introduction'!A408</f>
        <v>0</v>
      </c>
      <c r="B276" s="1">
        <f>'City Introduction'!B408</f>
        <v>0</v>
      </c>
      <c r="C276" s="1">
        <f>'City Introduction'!C408</f>
        <v>0</v>
      </c>
    </row>
    <row r="277" spans="1:3" x14ac:dyDescent="0.3">
      <c r="A277" s="1">
        <f>'City Introduction'!A409</f>
        <v>0</v>
      </c>
      <c r="B277" s="1">
        <f>'City Introduction'!B409</f>
        <v>0</v>
      </c>
      <c r="C277" s="1">
        <f>'City Introduction'!C409</f>
        <v>0</v>
      </c>
    </row>
    <row r="278" spans="1:3" x14ac:dyDescent="0.3">
      <c r="A278" s="1">
        <f>'City Introduction'!A410</f>
        <v>0</v>
      </c>
      <c r="B278" s="1">
        <f>'City Introduction'!B410</f>
        <v>0</v>
      </c>
      <c r="C278" s="1">
        <f>'City Introduction'!C410</f>
        <v>0</v>
      </c>
    </row>
    <row r="279" spans="1:3" x14ac:dyDescent="0.3">
      <c r="A279" s="1">
        <f>'City Introduction'!A411</f>
        <v>0</v>
      </c>
      <c r="B279" s="1">
        <f>'City Introduction'!B411</f>
        <v>0</v>
      </c>
      <c r="C279" s="1">
        <f>'City Introduction'!C411</f>
        <v>0</v>
      </c>
    </row>
    <row r="280" spans="1:3" x14ac:dyDescent="0.3">
      <c r="A280" s="1">
        <f>'City Introduction'!A412</f>
        <v>0</v>
      </c>
      <c r="B280" s="1">
        <f>'City Introduction'!B412</f>
        <v>0</v>
      </c>
      <c r="C280" s="1">
        <f>'City Introduction'!C412</f>
        <v>0</v>
      </c>
    </row>
    <row r="281" spans="1:3" x14ac:dyDescent="0.3">
      <c r="A281" s="1">
        <f>'City Introduction'!A413</f>
        <v>0</v>
      </c>
      <c r="B281" s="1">
        <f>'City Introduction'!B413</f>
        <v>0</v>
      </c>
      <c r="C281" s="1">
        <f>'City Introduction'!C413</f>
        <v>0</v>
      </c>
    </row>
    <row r="282" spans="1:3" x14ac:dyDescent="0.3">
      <c r="A282" s="1">
        <f>'City Introduction'!A414</f>
        <v>0</v>
      </c>
      <c r="B282" s="1">
        <f>'City Introduction'!B414</f>
        <v>0</v>
      </c>
      <c r="C282" s="1">
        <f>'City Introduction'!C414</f>
        <v>0</v>
      </c>
    </row>
    <row r="283" spans="1:3" x14ac:dyDescent="0.3">
      <c r="A283" s="1">
        <f>'City Introduction'!A415</f>
        <v>0</v>
      </c>
      <c r="B283" s="1">
        <f>'City Introduction'!B415</f>
        <v>0</v>
      </c>
      <c r="C283" s="1">
        <f>'City Introduction'!C415</f>
        <v>0</v>
      </c>
    </row>
    <row r="284" spans="1:3" x14ac:dyDescent="0.3">
      <c r="A284" s="1">
        <f>'City Introduction'!A416</f>
        <v>0</v>
      </c>
      <c r="B284" s="1">
        <f>'City Introduction'!B416</f>
        <v>0</v>
      </c>
      <c r="C284" s="1">
        <f>'City Introduction'!C416</f>
        <v>0</v>
      </c>
    </row>
    <row r="285" spans="1:3" x14ac:dyDescent="0.3">
      <c r="A285" s="1">
        <f>'City Introduction'!A417</f>
        <v>0</v>
      </c>
      <c r="B285" s="1">
        <f>'City Introduction'!B417</f>
        <v>0</v>
      </c>
      <c r="C285" s="1">
        <f>'City Introduction'!C417</f>
        <v>0</v>
      </c>
    </row>
    <row r="286" spans="1:3" x14ac:dyDescent="0.3">
      <c r="A286" s="1">
        <f>'City Introduction'!A418</f>
        <v>0</v>
      </c>
      <c r="B286" s="1">
        <f>'City Introduction'!B418</f>
        <v>0</v>
      </c>
      <c r="C286" s="1">
        <f>'City Introduction'!C418</f>
        <v>0</v>
      </c>
    </row>
    <row r="287" spans="1:3" x14ac:dyDescent="0.3">
      <c r="A287" s="1">
        <f>'City Introduction'!A419</f>
        <v>0</v>
      </c>
      <c r="B287" s="1">
        <f>'City Introduction'!B419</f>
        <v>0</v>
      </c>
      <c r="C287" s="1">
        <f>'City Introduction'!C419</f>
        <v>0</v>
      </c>
    </row>
    <row r="288" spans="1:3" x14ac:dyDescent="0.3">
      <c r="A288" s="1">
        <f>'City Introduction'!A420</f>
        <v>0</v>
      </c>
      <c r="B288" s="1">
        <f>'City Introduction'!B420</f>
        <v>0</v>
      </c>
      <c r="C288" s="1">
        <f>'City Introduction'!C420</f>
        <v>0</v>
      </c>
    </row>
    <row r="289" spans="1:3" x14ac:dyDescent="0.3">
      <c r="A289" s="1">
        <f>'City Introduction'!A421</f>
        <v>0</v>
      </c>
      <c r="B289" s="1">
        <f>'City Introduction'!B421</f>
        <v>0</v>
      </c>
      <c r="C289" s="1">
        <f>'City Introduction'!C421</f>
        <v>0</v>
      </c>
    </row>
    <row r="290" spans="1:3" x14ac:dyDescent="0.3">
      <c r="A290" s="1">
        <f>'City Introduction'!A422</f>
        <v>0</v>
      </c>
      <c r="B290" s="1">
        <f>'City Introduction'!B422</f>
        <v>0</v>
      </c>
      <c r="C290" s="1">
        <f>'City Introduction'!C422</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0EDA5-B654-42DF-8E26-2A0FB6145F3F}">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City Introduction</vt:lpstr>
      <vt:lpstr>City Geography and Topography</vt:lpstr>
      <vt:lpstr>City Demographic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Steelras Gengacross</dc:creator>
  <cp:lastModifiedBy>Steelras Gengacross</cp:lastModifiedBy>
  <dcterms:created xsi:type="dcterms:W3CDTF">2026-08-25T12:31:23Z</dcterms:created>
  <dcterms:modified xsi:type="dcterms:W3CDTF">2026-09-17T07:21:25Z</dcterms:modified>
</cp:coreProperties>
</file>