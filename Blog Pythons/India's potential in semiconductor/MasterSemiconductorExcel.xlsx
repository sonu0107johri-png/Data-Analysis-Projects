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log Pythons\India's potential in semiconductor\"/>
    </mc:Choice>
  </mc:AlternateContent>
  <xr:revisionPtr revIDLastSave="0" documentId="13_ncr:1_{D1D3D762-DB95-49DD-9C02-BAEAE80A92E0}" xr6:coauthVersionLast="47" xr6:coauthVersionMax="47" xr10:uidLastSave="{00000000-0000-0000-0000-000000000000}"/>
  <bookViews>
    <workbookView xWindow="-108" yWindow="-108" windowWidth="23256" windowHeight="12456" xr2:uid="{A0733F22-EFB9-41D4-A256-14A0FB735EB4}"/>
  </bookViews>
  <sheets>
    <sheet name="Basic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M2" i="1"/>
  <c r="H2" i="1"/>
  <c r="D2" i="1"/>
</calcChain>
</file>

<file path=xl/sharedStrings.xml><?xml version="1.0" encoding="utf-8"?>
<sst xmlns="http://schemas.openxmlformats.org/spreadsheetml/2006/main" count="216" uniqueCount="215">
  <si>
    <t>Nation</t>
  </si>
  <si>
    <t>Semiconductor Produced in 2025</t>
  </si>
  <si>
    <t>Semiconductor Produce in 2024</t>
  </si>
  <si>
    <t>Key Producing region</t>
  </si>
  <si>
    <t>Key Produicing Firms</t>
  </si>
  <si>
    <t>Major Importing Nation</t>
  </si>
  <si>
    <t>Major Exporting Nation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</si>
  <si>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</si>
  <si>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</si>
  <si>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</si>
  <si>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</si>
  <si>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</si>
  <si>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</si>
  <si>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</si>
  <si>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</si>
  <si>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</si>
  <si>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</si>
  <si>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</si>
  <si>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</si>
  <si>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</si>
  <si>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Phillipines</t>
  </si>
  <si>
    <t>DR Congo</t>
  </si>
  <si>
    <t>Vietnam</t>
  </si>
  <si>
    <t>Iran</t>
  </si>
  <si>
    <t>Turkey</t>
  </si>
  <si>
    <t>Germany</t>
  </si>
  <si>
    <t>Tanzania</t>
  </si>
  <si>
    <t>Thailand</t>
  </si>
  <si>
    <t>United Kingdom</t>
  </si>
  <si>
    <t>France</t>
  </si>
  <si>
    <t>South Africa</t>
  </si>
  <si>
    <t>Italy</t>
  </si>
  <si>
    <t>Kenya</t>
  </si>
  <si>
    <t>Myanmar</t>
  </si>
  <si>
    <t>Colombia</t>
  </si>
  <si>
    <t>Sudan</t>
  </si>
  <si>
    <t>Uganda</t>
  </si>
  <si>
    <t>South Korea</t>
  </si>
  <si>
    <t>Algeria</t>
  </si>
  <si>
    <t>Iraq</t>
  </si>
  <si>
    <t>Spain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</si>
  <si>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</si>
  <si>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</si>
  <si>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</si>
  <si>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</si>
  <si>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</si>
  <si>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</si>
  <si>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</si>
  <si>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</si>
  <si>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</si>
  <si>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Mozambique</t>
  </si>
  <si>
    <t>Malaysia</t>
  </si>
  <si>
    <t>Ghana</t>
  </si>
  <si>
    <t>Saudi Arabia</t>
  </si>
  <si>
    <t>Peru</t>
  </si>
  <si>
    <t>Madagascar</t>
  </si>
  <si>
    <t>Cote d Ivoire</t>
  </si>
  <si>
    <t>Cameroon</t>
  </si>
  <si>
    <t>Nepal</t>
  </si>
  <si>
    <t>Niger</t>
  </si>
  <si>
    <t>Venezuela</t>
  </si>
  <si>
    <t>Australia</t>
  </si>
  <si>
    <t>North Korea</t>
  </si>
  <si>
    <t>Syria</t>
  </si>
  <si>
    <t>Mali</t>
  </si>
  <si>
    <t>Burkina Faso</t>
  </si>
  <si>
    <t>Sri Lanka</t>
  </si>
  <si>
    <t>Malawi</t>
  </si>
  <si>
    <t>Zambia</t>
  </si>
  <si>
    <t>Chad</t>
  </si>
  <si>
    <t>Kazakhstan</t>
  </si>
  <si>
    <t>Somalia</t>
  </si>
  <si>
    <t>Chile</t>
  </si>
  <si>
    <t>Senegal</t>
  </si>
  <si>
    <t>Guatemala</t>
  </si>
  <si>
    <t>Romania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</si>
  <si>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</si>
  <si>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</si>
  <si>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</si>
  <si>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</si>
  <si>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</si>
  <si>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</si>
  <si>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</si>
  <si>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</si>
  <si>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</si>
  <si>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South Sudan</t>
  </si>
  <si>
    <t>Tunisia</t>
  </si>
  <si>
    <t>Belgium</t>
  </si>
  <si>
    <t>Dominican Republic</t>
  </si>
  <si>
    <t>Jordan</t>
  </si>
  <si>
    <t>United Arab Emirates</t>
  </si>
  <si>
    <t>Honduras</t>
  </si>
  <si>
    <t>Tajikistan</t>
  </si>
  <si>
    <t>Papua New Guinea</t>
  </si>
  <si>
    <t>Cuba</t>
  </si>
  <si>
    <t>Sweden</t>
  </si>
  <si>
    <t>Czech Republic</t>
  </si>
  <si>
    <t>Azerbaijan</t>
  </si>
  <si>
    <t>Portugal</t>
  </si>
  <si>
    <t>Togo</t>
  </si>
  <si>
    <t>Greece</t>
  </si>
  <si>
    <t>Israel</t>
  </si>
  <si>
    <t>Hungary</t>
  </si>
  <si>
    <t>Austria</t>
  </si>
  <si>
    <t>Switzerland</t>
  </si>
  <si>
    <t>Sierra Leone</t>
  </si>
  <si>
    <t>Belarus</t>
  </si>
  <si>
    <t>Laos</t>
  </si>
  <si>
    <t>Turkmenistan</t>
  </si>
  <si>
    <t>Libya</t>
  </si>
  <si>
    <t>Kyrgyzstan</t>
  </si>
  <si>
    <t>Nicaragua</t>
  </si>
  <si>
    <t>Paraguay</t>
  </si>
  <si>
    <t>Bulgaria</t>
  </si>
  <si>
    <t>Serbia</t>
  </si>
  <si>
    <t>Congo</t>
  </si>
  <si>
    <t>El Salvador</t>
  </si>
  <si>
    <t>Denmark</t>
  </si>
  <si>
    <t>Singapore</t>
  </si>
  <si>
    <t>Lebanon</t>
  </si>
  <si>
    <t>Liberia</t>
  </si>
  <si>
    <t>Central African Republic</t>
  </si>
  <si>
    <t>Palestine</t>
  </si>
  <si>
    <t>Oman</t>
  </si>
  <si>
    <t>Norway</t>
  </si>
  <si>
    <t>Finland</t>
  </si>
  <si>
    <t>Mauritania</t>
  </si>
  <si>
    <t>Slovakia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</si>
  <si>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</si>
  <si>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</si>
  <si>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</si>
  <si>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</si>
  <si>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</si>
  <si>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</si>
  <si>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</si>
  <si>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</si>
  <si>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</si>
  <si>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</si>
  <si>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Qatar</t>
  </si>
  <si>
    <t>Namibia</t>
  </si>
  <si>
    <t>Bosnia and Herzegovina</t>
  </si>
  <si>
    <t>Moldova</t>
  </si>
  <si>
    <t>Armenia</t>
  </si>
  <si>
    <t>Gambia</t>
  </si>
  <si>
    <t>Jamaica</t>
  </si>
  <si>
    <t>Lithuania</t>
  </si>
  <si>
    <t>Albania</t>
  </si>
  <si>
    <t>Gabon</t>
  </si>
  <si>
    <t>Botswana</t>
  </si>
  <si>
    <t>Lesotho</t>
  </si>
  <si>
    <t>Guinea-Bissau</t>
  </si>
  <si>
    <t>Slovenia</t>
  </si>
  <si>
    <t>Equitorial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</si>
  <si>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</si>
  <si>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</si>
  <si>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</si>
  <si>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</si>
  <si>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</si>
  <si>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</si>
  <si>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</si>
  <si>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Eswatini</t>
  </si>
  <si>
    <t>Mauritius</t>
  </si>
  <si>
    <t>Djibouti</t>
  </si>
  <si>
    <t>Fiji</t>
  </si>
  <si>
    <t>Comoros</t>
  </si>
  <si>
    <t>Solomon Islands</t>
  </si>
  <si>
    <t>Guyana</t>
  </si>
  <si>
    <t>Bhutan</t>
  </si>
  <si>
    <t>Luxembourg</t>
  </si>
  <si>
    <t>Suriname</t>
  </si>
  <si>
    <t>Montenegro</t>
  </si>
  <si>
    <t>Malta</t>
  </si>
  <si>
    <t>Maldives</t>
  </si>
  <si>
    <t>Cabo Verde</t>
  </si>
  <si>
    <t>Brunei</t>
  </si>
  <si>
    <t>Belize</t>
  </si>
  <si>
    <t>Bahamas</t>
  </si>
  <si>
    <t>Iceland</t>
  </si>
  <si>
    <t>Vanuatu</t>
  </si>
  <si>
    <t>Barbados</t>
  </si>
  <si>
    <t>Sao Tome &amp; Principe</t>
  </si>
  <si>
    <t>Samoa</t>
  </si>
  <si>
    <t>Saint Lucia</t>
  </si>
  <si>
    <t>Kiribati</t>
  </si>
  <si>
    <t>Seychelles</t>
  </si>
  <si>
    <t>Grenada</t>
  </si>
  <si>
    <t>Micronesia</t>
  </si>
  <si>
    <t>Tonga</t>
  </si>
  <si>
    <t>Saint Vincent and Grenadines</t>
  </si>
  <si>
    <t>Antigua and Barbuda</t>
  </si>
  <si>
    <t>Isle of Man</t>
  </si>
  <si>
    <t>Andorra</t>
  </si>
  <si>
    <t>Cayman Islands</t>
  </si>
  <si>
    <t>Dominica</t>
  </si>
  <si>
    <t>Bermuda</t>
  </si>
  <si>
    <t>Saint Kitts and Nevis</t>
  </si>
  <si>
    <t>Gibraltar</t>
  </si>
  <si>
    <t>Liechtenstein</t>
  </si>
  <si>
    <t>Monaco</t>
  </si>
  <si>
    <t>Marshall Islands</t>
  </si>
  <si>
    <t>San Marino</t>
  </si>
  <si>
    <t>Palau</t>
  </si>
  <si>
    <t>Nauru</t>
  </si>
  <si>
    <t>Tuvalu</t>
  </si>
  <si>
    <t>Holy See</t>
  </si>
  <si>
    <t>Estimated Semiconductor Produce in 2026 million</t>
  </si>
  <si>
    <t xml:space="preserve">Dholera - Gujarat - Manufacture of 28nm to 90nm of silicon wafer, Sanand - Gujarat - capital for semiconductor packaging as well as facility for manufacturing chips for automotive and industrial sectors, Jagiroad - Assam - house to massive Rs. 27000 crore greenfield packaging facility - this specific region is structurally vital for India's export market, Bengaluru - Karnataka - the chip-design capital of India, Chandigarh - UT - R&amp;D related activity due to the presence of government backed Semiconductor Laboratory </t>
  </si>
  <si>
    <t>Prospective Regions</t>
  </si>
  <si>
    <t>Chennai, Coimbatore - Tamil Nadu</t>
  </si>
  <si>
    <t>Tata Electronics, Micron Electronics, CG Power and Industrial Solutions, Kayne Semicon</t>
  </si>
  <si>
    <t>Money Spent on Import (₹ lakh crore)</t>
  </si>
  <si>
    <t>Money Recieved on Export (₹ lakh crore)</t>
  </si>
  <si>
    <t>Semicondutor Imports (billion)</t>
  </si>
  <si>
    <t>US</t>
  </si>
  <si>
    <t>Semicondutor Exports (billion)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</si>
</sst>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C6AD-7CF6-467D-A192-CF953E1406CF}">
  <dimension ref="A1:M199"/>
  <sheetViews>
    <sheetView tabSelected="1" workbookViewId="0">
      <selection activeCell="A3" sqref="A3"/>
    </sheetView>
  </sheetViews>
  <sheetFormatPr defaultRowHeight="14.4" x14ac:dyDescent="0.3"/>
  <cols>
    <col min="1" max="1" width="24.77734375" style="1" bestFit="1" customWidth="1"/>
    <col min="2" max="2" width="29.109375" style="1" bestFit="1" customWidth="1"/>
    <col min="3" max="3" width="28" style="1" bestFit="1" customWidth="1"/>
    <col min="4" max="4" width="36.88671875" style="1" bestFit="1" customWidth="1"/>
    <col min="5" max="5" width="107.88671875" style="1" bestFit="1" customWidth="1"/>
    <col min="6" max="6" width="28.77734375" style="1" bestFit="1" customWidth="1"/>
    <col min="7" max="7" width="18.77734375" style="1" bestFit="1" customWidth="1"/>
    <col min="8" max="8" width="20.109375" style="1" bestFit="1" customWidth="1"/>
    <col min="9" max="9" width="20.33203125" style="1" bestFit="1" customWidth="1"/>
    <col min="10" max="10" width="20.44140625" style="1" bestFit="1" customWidth="1"/>
    <col min="11" max="11" width="19.88671875" style="1" bestFit="1" customWidth="1"/>
    <col min="12" max="12" width="20.109375" style="1" bestFit="1" customWidth="1"/>
    <col min="13" max="13" width="23.109375" style="1" bestFit="1" customWidth="1"/>
    <col min="14" max="16384" width="8.88671875" style="1"/>
  </cols>
  <sheetData>
    <row r="1" spans="1:13" s="2" customFormat="1" ht="28.8" x14ac:dyDescent="0.3">
      <c r="A1" s="4" t="s">
        <v>0</v>
      </c>
      <c r="B1" s="4" t="s">
        <v>1</v>
      </c>
      <c r="C1" s="4" t="s">
        <v>2</v>
      </c>
      <c r="D1" s="5" t="s">
        <v>205</v>
      </c>
      <c r="E1" s="4" t="s">
        <v>3</v>
      </c>
      <c r="F1" s="4" t="s">
        <v>207</v>
      </c>
      <c r="G1" s="4" t="s">
        <v>4</v>
      </c>
      <c r="H1" s="5" t="s">
        <v>212</v>
      </c>
      <c r="I1" s="4" t="s">
        <v>5</v>
      </c>
      <c r="J1" s="5" t="s">
        <v>210</v>
      </c>
      <c r="K1" s="5" t="s">
        <v>214</v>
      </c>
      <c r="L1" s="4" t="s">
        <v>6</v>
      </c>
      <c r="M1" s="5" t="s">
        <v>211</v>
      </c>
    </row>
    <row r="2" spans="1:13" ht="72" x14ac:dyDescent="0.3">
      <c r="A2" s="3" t="s">
        <v>7</v>
      </c>
      <c r="B2" s="3">
        <v>0</v>
      </c>
      <c r="C2" s="3">
        <v>0</v>
      </c>
      <c r="D2" s="3">
        <f xml:space="preserve"> (75+80)/2</f>
        <v>77.5</v>
      </c>
      <c r="E2" s="6" t="s">
        <v>206</v>
      </c>
      <c r="F2" s="6" t="s">
        <v>208</v>
      </c>
      <c r="G2" s="6" t="s">
        <v>209</v>
      </c>
      <c r="H2" s="3">
        <f xml:space="preserve"> (25+35)/2</f>
        <v>30</v>
      </c>
      <c r="I2" s="3" t="s">
        <v>8</v>
      </c>
      <c r="J2" s="3">
        <v>2.5299999999999998</v>
      </c>
      <c r="K2" s="3">
        <f>(1.9+2.2)/2</f>
        <v>2.0499999999999998</v>
      </c>
      <c r="L2" s="3" t="s">
        <v>213</v>
      </c>
      <c r="M2" s="3">
        <f>(0.15+0.18)/2</f>
        <v>0.16499999999999998</v>
      </c>
    </row>
    <row r="3" spans="1:13" x14ac:dyDescent="0.3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3" t="s">
        <v>11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3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3" t="s">
        <v>14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3" t="s">
        <v>15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3" t="s">
        <v>16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3" t="s">
        <v>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3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3" t="s">
        <v>19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3" t="s">
        <v>20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3" t="s">
        <v>21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 t="s">
        <v>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 t="s">
        <v>23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 t="s">
        <v>24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 t="s">
        <v>25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 t="s">
        <v>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 t="s">
        <v>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 t="s">
        <v>30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 t="s">
        <v>31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 t="s">
        <v>32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3" t="s">
        <v>33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3" t="s">
        <v>34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3" t="s">
        <v>35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 t="s">
        <v>36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3" t="s">
        <v>37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3" t="s">
        <v>38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3" t="s">
        <v>39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 t="s">
        <v>40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3" t="s">
        <v>41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3" t="s">
        <v>42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3" t="s">
        <v>43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3" t="s">
        <v>44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3" t="s">
        <v>45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3" t="s">
        <v>46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3" t="s">
        <v>47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3" t="s">
        <v>48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3" t="s">
        <v>49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3" t="s">
        <v>50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3" t="s">
        <v>51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3" t="s">
        <v>52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3" t="s">
        <v>53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3" t="s">
        <v>54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3" t="s">
        <v>55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3" t="s">
        <v>56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3" t="s">
        <v>57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3" t="s">
        <v>58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3" t="s">
        <v>59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3" t="s">
        <v>60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">
      <c r="A56" s="3" t="s">
        <v>61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3" t="s">
        <v>62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3" t="s">
        <v>63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3" t="s">
        <v>64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s="3" t="s">
        <v>65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3" t="s">
        <v>66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">
      <c r="A62" s="3" t="s">
        <v>67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3" t="s">
        <v>68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s="3" t="s">
        <v>69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3" t="s">
        <v>70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s="3" t="s">
        <v>71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3" t="s">
        <v>72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">
      <c r="A68" s="3" t="s">
        <v>73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3" t="s">
        <v>74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">
      <c r="A70" s="3" t="s">
        <v>75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">
      <c r="A71" s="3" t="s">
        <v>76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">
      <c r="A72" s="3" t="s">
        <v>77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">
      <c r="A73" s="3" t="s">
        <v>78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">
      <c r="A74" s="3" t="s">
        <v>79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s="3" t="s">
        <v>80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">
      <c r="A76" s="3" t="s">
        <v>81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">
      <c r="A77" s="3" t="s">
        <v>82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">
      <c r="A78" s="3" t="s">
        <v>83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3" t="s">
        <v>84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">
      <c r="A80" s="3" t="s">
        <v>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">
      <c r="A81" s="3" t="s">
        <v>86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s="3" t="s">
        <v>87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3" t="s">
        <v>88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">
      <c r="A84" s="3" t="s">
        <v>89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">
      <c r="A85" s="3" t="s">
        <v>90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">
      <c r="A86" s="3" t="s">
        <v>91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">
      <c r="A87" s="3" t="s">
        <v>92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">
      <c r="A88" s="3" t="s">
        <v>93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">
      <c r="A89" s="3" t="s">
        <v>94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">
      <c r="A90" s="3" t="s">
        <v>95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">
      <c r="A91" s="3" t="s">
        <v>96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">
      <c r="A92" s="3" t="s">
        <v>97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">
      <c r="A93" s="3" t="s">
        <v>98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">
      <c r="A94" s="3" t="s">
        <v>99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">
      <c r="A95" s="3" t="s">
        <v>100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">
      <c r="A96" s="3" t="s">
        <v>101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">
      <c r="A97" s="3" t="s">
        <v>102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">
      <c r="A98" s="3" t="s">
        <v>103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">
      <c r="A99" s="3" t="s">
        <v>104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">
      <c r="A100" s="3" t="s">
        <v>105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">
      <c r="A101" s="3" t="s">
        <v>106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">
      <c r="A102" s="3" t="s">
        <v>107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">
      <c r="A103" s="3" t="s">
        <v>108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">
      <c r="A104" s="3" t="s">
        <v>109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">
      <c r="A105" s="3" t="s">
        <v>110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">
      <c r="A106" s="3" t="s">
        <v>111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">
      <c r="A107" s="3" t="s">
        <v>112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">
      <c r="A108" s="3" t="s">
        <v>113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">
      <c r="A109" s="3" t="s">
        <v>114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">
      <c r="A110" s="3" t="s">
        <v>115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">
      <c r="A111" s="3" t="s">
        <v>116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">
      <c r="A112" s="3" t="s">
        <v>117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">
      <c r="A113" s="3" t="s">
        <v>118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">
      <c r="A114" s="3" t="s">
        <v>119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">
      <c r="A115" s="3" t="s">
        <v>120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">
      <c r="A116" s="3" t="s">
        <v>121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">
      <c r="A117" s="3" t="s">
        <v>122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">
      <c r="A118" s="3" t="s">
        <v>123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">
      <c r="A119" s="3" t="s">
        <v>124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">
      <c r="A120" s="3" t="s">
        <v>125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">
      <c r="A121" s="3" t="s">
        <v>126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">
      <c r="A122" s="3" t="s">
        <v>127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">
      <c r="A123" s="3" t="s">
        <v>128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">
      <c r="A124" s="3" t="s">
        <v>129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">
      <c r="A125" s="3" t="s">
        <v>130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">
      <c r="A126" s="3" t="s">
        <v>131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">
      <c r="A127" s="3" t="s">
        <v>132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">
      <c r="A128" s="3" t="s">
        <v>133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">
      <c r="A129" s="3" t="s">
        <v>134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">
      <c r="A130" s="3" t="s">
        <v>135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">
      <c r="A131" s="3" t="s">
        <v>136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">
      <c r="A132" s="3" t="s">
        <v>137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">
      <c r="A133" s="3" t="s">
        <v>138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">
      <c r="A134" s="3" t="s">
        <v>139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">
      <c r="A135" s="3" t="s">
        <v>140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">
      <c r="A136" s="3" t="s">
        <v>141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">
      <c r="A137" s="3" t="s">
        <v>142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">
      <c r="A138" s="3" t="s">
        <v>143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">
      <c r="A139" s="3" t="s">
        <v>144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">
      <c r="A140" s="3" t="s">
        <v>145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">
      <c r="A141" s="3" t="s">
        <v>146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">
      <c r="A142" s="3" t="s">
        <v>147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">
      <c r="A143" s="3" t="s">
        <v>148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">
      <c r="A144" s="3" t="s">
        <v>149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">
      <c r="A145" s="3" t="s">
        <v>150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">
      <c r="A146" s="3" t="s">
        <v>151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">
      <c r="A147" s="3" t="s">
        <v>152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">
      <c r="A148" s="3" t="s">
        <v>153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">
      <c r="A149" s="3" t="s">
        <v>154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">
      <c r="A150" s="3" t="s">
        <v>155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">
      <c r="A151" s="3" t="s">
        <v>156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">
      <c r="A152" s="3" t="s">
        <v>157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">
      <c r="A153" s="3" t="s">
        <v>158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">
      <c r="A154" s="3" t="s">
        <v>159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">
      <c r="A155" s="3" t="s">
        <v>160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">
      <c r="A156" s="3" t="s">
        <v>161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">
      <c r="A157" s="3" t="s">
        <v>162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">
      <c r="A158" s="3" t="s">
        <v>163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">
      <c r="A159" s="3" t="s">
        <v>164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">
      <c r="A160" s="3" t="s">
        <v>165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">
      <c r="A161" s="3" t="s">
        <v>166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">
      <c r="A162" s="3" t="s">
        <v>167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">
      <c r="A163" s="3" t="s">
        <v>168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">
      <c r="A164" s="3" t="s">
        <v>169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">
      <c r="A165" s="3" t="s">
        <v>170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">
      <c r="A166" s="3" t="s">
        <v>171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">
      <c r="A167" s="3" t="s">
        <v>172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">
      <c r="A168" s="3" t="s">
        <v>173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">
      <c r="A169" s="3" t="s">
        <v>174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">
      <c r="A170" s="3" t="s">
        <v>175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">
      <c r="A171" s="3" t="s">
        <v>176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">
      <c r="A172" s="3" t="s">
        <v>177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">
      <c r="A173" s="3" t="s">
        <v>178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">
      <c r="A174" s="3" t="s">
        <v>179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">
      <c r="A175" s="3" t="s">
        <v>180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">
      <c r="A176" s="3" t="s">
        <v>181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">
      <c r="A177" s="3" t="s">
        <v>182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">
      <c r="A178" s="3" t="s">
        <v>183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">
      <c r="A179" s="3" t="s">
        <v>184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">
      <c r="A180" s="3" t="s">
        <v>185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">
      <c r="A181" s="3" t="s">
        <v>186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">
      <c r="A182" s="3" t="s">
        <v>187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">
      <c r="A183" s="3" t="s">
        <v>188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">
      <c r="A184" s="3" t="s">
        <v>189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">
      <c r="A185" s="3" t="s">
        <v>190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">
      <c r="A186" s="3" t="s">
        <v>191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">
      <c r="A187" s="3" t="s">
        <v>192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">
      <c r="A188" s="3" t="s">
        <v>193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">
      <c r="A189" s="3" t="s">
        <v>194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">
      <c r="A190" s="3" t="s">
        <v>195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">
      <c r="A191" s="3" t="s">
        <v>196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">
      <c r="A192" s="3" t="s">
        <v>197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">
      <c r="A193" s="3" t="s">
        <v>198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">
      <c r="A194" s="3" t="s">
        <v>199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">
      <c r="A195" s="3" t="s">
        <v>200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">
      <c r="A196" s="3" t="s">
        <v>201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">
      <c r="A197" s="3" t="s">
        <v>202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">
      <c r="A198" s="3" t="s">
        <v>203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">
      <c r="A199" s="3" t="s">
        <v>204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Steelras Gengacross</dc:creator>
  <cp:lastModifiedBy>Steelras Gengacross</cp:lastModifiedBy>
  <dcterms:created xsi:type="dcterms:W3CDTF">2026-09-02T03:43:23Z</dcterms:created>
  <dcterms:modified xsi:type="dcterms:W3CDTF">2026-09-02T05:03:28Z</dcterms:modified>
</cp:coreProperties>
</file>