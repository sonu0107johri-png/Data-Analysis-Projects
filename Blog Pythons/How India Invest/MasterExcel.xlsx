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log Pythons\How India Invest\"/>
    </mc:Choice>
  </mc:AlternateContent>
  <xr:revisionPtr revIDLastSave="0" documentId="13_ncr:1_{42F847C0-6295-4823-A80E-585248A892A9}" xr6:coauthVersionLast="47" xr6:coauthVersionMax="47" xr10:uidLastSave="{00000000-0000-0000-0000-000000000000}"/>
  <bookViews>
    <workbookView xWindow="-108" yWindow="-108" windowWidth="23256" windowHeight="12456" xr2:uid="{A136FCC1-2DF0-4C0E-AACC-21614747821D}"/>
  </bookViews>
  <sheets>
    <sheet name="Nation-Wise_Salary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B9" i="1"/>
  <c r="B8" i="1"/>
  <c r="C8" i="1"/>
  <c r="C7" i="1"/>
  <c r="B7" i="1"/>
  <c r="B6" i="1"/>
  <c r="C6" i="1"/>
  <c r="C5" i="1"/>
  <c r="B5" i="1"/>
  <c r="C4" i="1"/>
  <c r="B4" i="1"/>
  <c r="B3" i="1"/>
  <c r="C3" i="1"/>
  <c r="C2" i="1"/>
  <c r="B2" i="1"/>
</calcChain>
</file>

<file path=xl/sharedStrings.xml><?xml version="1.0" encoding="utf-8"?>
<sst xmlns="http://schemas.openxmlformats.org/spreadsheetml/2006/main" count="233" uniqueCount="233">
  <si>
    <t>Nation</t>
  </si>
  <si>
    <t>Population</t>
  </si>
  <si>
    <t>Employed</t>
  </si>
  <si>
    <t>Self-Employed</t>
  </si>
  <si>
    <t>Unemployed</t>
  </si>
  <si>
    <t>Non-Employed</t>
  </si>
  <si>
    <t>Male</t>
  </si>
  <si>
    <t>Female</t>
  </si>
  <si>
    <t>Percent of Male Employed</t>
  </si>
  <si>
    <t>Percent of Male Self-Employed</t>
  </si>
  <si>
    <t>Percent of Male Unemployed</t>
  </si>
  <si>
    <t>Percent of Male non-employed</t>
  </si>
  <si>
    <t>Percent of Female Employed</t>
  </si>
  <si>
    <t>Percent of Female Self-Employed</t>
  </si>
  <si>
    <t>Percent of Female Unemployed</t>
  </si>
  <si>
    <t>Percent of Female non-employed</t>
  </si>
  <si>
    <t>Retirement Avg Age</t>
  </si>
  <si>
    <t>Adult Age</t>
  </si>
  <si>
    <t>Population below Adult Age</t>
  </si>
  <si>
    <t>Population from Adult Age to Retirement Age</t>
  </si>
  <si>
    <t>Population above Retirement Age</t>
  </si>
  <si>
    <t>Male between Adult to Retirement Age</t>
  </si>
  <si>
    <t>Female between Adult to Retirement Age</t>
  </si>
  <si>
    <t>Per Capita Income</t>
  </si>
  <si>
    <t>United States</t>
  </si>
  <si>
    <t>China</t>
  </si>
  <si>
    <t>Germany</t>
  </si>
  <si>
    <t>Japan</t>
  </si>
  <si>
    <t>United Kingdom</t>
  </si>
  <si>
    <t>India</t>
  </si>
  <si>
    <t>France</t>
  </si>
  <si>
    <t>Italy</t>
  </si>
  <si>
    <t>Russia</t>
  </si>
  <si>
    <t>Brazil</t>
  </si>
  <si>
    <t>Canada</t>
  </si>
  <si>
    <t>Australia</t>
  </si>
  <si>
    <t>Mexico</t>
  </si>
  <si>
    <t>Spain</t>
  </si>
  <si>
    <t>South Korea</t>
  </si>
  <si>
    <t>Turkey</t>
  </si>
  <si>
    <t>Indonesia</t>
  </si>
  <si>
    <t>Netherlands</t>
  </si>
  <si>
    <t>Saudi Arabia</t>
  </si>
  <si>
    <t>Switzerland</t>
  </si>
  <si>
    <t>Poland</t>
  </si>
  <si>
    <t>Ireland</t>
  </si>
  <si>
    <t>Belgium</t>
  </si>
  <si>
    <t>Sweden</t>
  </si>
  <si>
    <t>Israel</t>
  </si>
  <si>
    <t>Argentina</t>
  </si>
  <si>
    <t>singapore</t>
  </si>
  <si>
    <t>Austria</t>
  </si>
  <si>
    <t>United Arab Emirates</t>
  </si>
  <si>
    <t>Norway</t>
  </si>
  <si>
    <t>Thailand</t>
  </si>
  <si>
    <t>Colombia</t>
  </si>
  <si>
    <t>Vietnam</t>
  </si>
  <si>
    <t>Malaysia</t>
  </si>
  <si>
    <t>Phillipines</t>
  </si>
  <si>
    <t>Bangladesh</t>
  </si>
  <si>
    <t>Denmark</t>
  </si>
  <si>
    <t>Romania</t>
  </si>
  <si>
    <t>South Africa</t>
  </si>
  <si>
    <t>Czech Republic</t>
  </si>
  <si>
    <t>Egypt</t>
  </si>
  <si>
    <t>Chile</t>
  </si>
  <si>
    <t>Pakistan</t>
  </si>
  <si>
    <t>Peru</t>
  </si>
  <si>
    <t>Portugal</t>
  </si>
  <si>
    <t>Nigeria</t>
  </si>
  <si>
    <t>Kazakhstan</t>
  </si>
  <si>
    <t>Finland</t>
  </si>
  <si>
    <t>Algeria</t>
  </si>
  <si>
    <t>Greece</t>
  </si>
  <si>
    <t>Iran</t>
  </si>
  <si>
    <t>New Zealand</t>
  </si>
  <si>
    <t>Hungary</t>
  </si>
  <si>
    <t>Iraq</t>
  </si>
  <si>
    <t>Ukraine</t>
  </si>
  <si>
    <t>Qatar</t>
  </si>
  <si>
    <t>Morocco</t>
  </si>
  <si>
    <t>Uzbekistan</t>
  </si>
  <si>
    <t>Kuwait</t>
  </si>
  <si>
    <t>Slovakia</t>
  </si>
  <si>
    <t>Angola</t>
  </si>
  <si>
    <t>Bulgaria</t>
  </si>
  <si>
    <t>Kenya</t>
  </si>
  <si>
    <t>Ecuador</t>
  </si>
  <si>
    <t>Dominican Republic</t>
  </si>
  <si>
    <t>Guatemala</t>
  </si>
  <si>
    <t>DR Congo</t>
  </si>
  <si>
    <t>Ethiopia</t>
  </si>
  <si>
    <t>Ghana</t>
  </si>
  <si>
    <t>Oman</t>
  </si>
  <si>
    <t>Croatia</t>
  </si>
  <si>
    <t>Ivory Coast</t>
  </si>
  <si>
    <t>Serbia</t>
  </si>
  <si>
    <t>Venezuela</t>
  </si>
  <si>
    <t>Luxembourg</t>
  </si>
  <si>
    <t>Costa Rica</t>
  </si>
  <si>
    <t>Cuba</t>
  </si>
  <si>
    <t>Lithuania</t>
  </si>
  <si>
    <t>Belarus</t>
  </si>
  <si>
    <t>Sri Lanka</t>
  </si>
  <si>
    <t>Uruguay</t>
  </si>
  <si>
    <t>Panama</t>
  </si>
  <si>
    <t>Tanzania</t>
  </si>
  <si>
    <t>Slovenia</t>
  </si>
  <si>
    <t>Myanmar</t>
  </si>
  <si>
    <t>Turkmenistan</t>
  </si>
  <si>
    <t>Bolivia</t>
  </si>
  <si>
    <t>Azerbaijan</t>
  </si>
  <si>
    <t>Uganda</t>
  </si>
  <si>
    <t>Cameroon</t>
  </si>
  <si>
    <t>Jordan</t>
  </si>
  <si>
    <t>Tunisia</t>
  </si>
  <si>
    <t>Paraguay</t>
  </si>
  <si>
    <t>Syria</t>
  </si>
  <si>
    <t>Zimbabwe</t>
  </si>
  <si>
    <t>Latvia</t>
  </si>
  <si>
    <t>Libya</t>
  </si>
  <si>
    <t>Cambodia</t>
  </si>
  <si>
    <t>Estonia</t>
  </si>
  <si>
    <t>Bahrain</t>
  </si>
  <si>
    <t>Nepal</t>
  </si>
  <si>
    <t>Cyprus</t>
  </si>
  <si>
    <t>Sudan</t>
  </si>
  <si>
    <t>Iceland</t>
  </si>
  <si>
    <t>Georgia</t>
  </si>
  <si>
    <t>Honduras</t>
  </si>
  <si>
    <t>Zambia</t>
  </si>
  <si>
    <t>Senegal</t>
  </si>
  <si>
    <t>El Salvador</t>
  </si>
  <si>
    <t>Bosnia and Herzegovina</t>
  </si>
  <si>
    <t>Lebanon</t>
  </si>
  <si>
    <t>Papua New Guinea</t>
  </si>
  <si>
    <t>Guyana</t>
  </si>
  <si>
    <t>Mali</t>
  </si>
  <si>
    <t>Albania</t>
  </si>
  <si>
    <t>Burkina Faso</t>
  </si>
  <si>
    <t>Armenia</t>
  </si>
  <si>
    <t>Malta</t>
  </si>
  <si>
    <t>Guinea</t>
  </si>
  <si>
    <t>Mongolia</t>
  </si>
  <si>
    <t>Benin</t>
  </si>
  <si>
    <t>Trinidad and Tobago</t>
  </si>
  <si>
    <t>Chad</t>
  </si>
  <si>
    <t>Niger</t>
  </si>
  <si>
    <t>Nicaragua</t>
  </si>
  <si>
    <t>Krygyztan</t>
  </si>
  <si>
    <t>Gabon</t>
  </si>
  <si>
    <t>Mozambique</t>
  </si>
  <si>
    <t>Jamiaca</t>
  </si>
  <si>
    <t>Botswana</t>
  </si>
  <si>
    <t>Moldova</t>
  </si>
  <si>
    <t>North Macedonia</t>
  </si>
  <si>
    <t>Madagascar</t>
  </si>
  <si>
    <t>Tajikstan</t>
  </si>
  <si>
    <t>Afghanistan</t>
  </si>
  <si>
    <t>Laos</t>
  </si>
  <si>
    <t>Malawi</t>
  </si>
  <si>
    <t>Rwanda</t>
  </si>
  <si>
    <t>Namibia</t>
  </si>
  <si>
    <t>Mauritius</t>
  </si>
  <si>
    <t>Bahamas</t>
  </si>
  <si>
    <t>Congo</t>
  </si>
  <si>
    <t>Brunei</t>
  </si>
  <si>
    <t>Mauritania</t>
  </si>
  <si>
    <t>Somalia</t>
  </si>
  <si>
    <t>Equitorial Guinea</t>
  </si>
  <si>
    <t>Togo</t>
  </si>
  <si>
    <t>Monaco</t>
  </si>
  <si>
    <t>Montenegro</t>
  </si>
  <si>
    <t>Lichtenstein</t>
  </si>
  <si>
    <t>babbados</t>
  </si>
  <si>
    <t>Sierra Leone</t>
  </si>
  <si>
    <t>Burundi</t>
  </si>
  <si>
    <t>Maldives</t>
  </si>
  <si>
    <t>Yemen</t>
  </si>
  <si>
    <t>Cayman Islands</t>
  </si>
  <si>
    <t>Isle of man</t>
  </si>
  <si>
    <t>Bermuda</t>
  </si>
  <si>
    <t>Fiji</t>
  </si>
  <si>
    <t>South Sudan</t>
  </si>
  <si>
    <t>Suriname</t>
  </si>
  <si>
    <t>Eswatini</t>
  </si>
  <si>
    <t>Liberia</t>
  </si>
  <si>
    <t>Andorra</t>
  </si>
  <si>
    <t>Djibouti</t>
  </si>
  <si>
    <t>Bhutan</t>
  </si>
  <si>
    <t>Central African republic</t>
  </si>
  <si>
    <t>Belize</t>
  </si>
  <si>
    <t>Cape Verde</t>
  </si>
  <si>
    <t>Guinea-Bissau</t>
  </si>
  <si>
    <t>Lesotho</t>
  </si>
  <si>
    <t>Gambia</t>
  </si>
  <si>
    <t>Saint Lucia</t>
  </si>
  <si>
    <t>San Marino</t>
  </si>
  <si>
    <t>Antigua and Berbuda</t>
  </si>
  <si>
    <t>Seychelles</t>
  </si>
  <si>
    <t>Timor-leste</t>
  </si>
  <si>
    <t>Eritrea</t>
  </si>
  <si>
    <t>Solomon Islands</t>
  </si>
  <si>
    <t>Comoros</t>
  </si>
  <si>
    <t>Grenada</t>
  </si>
  <si>
    <t>Vanuatu</t>
  </si>
  <si>
    <t>Saint Vincent and Grenadines</t>
  </si>
  <si>
    <t>Sao Tome and Principe</t>
  </si>
  <si>
    <t>Saint Kitts and Nevis</t>
  </si>
  <si>
    <t>Tonga</t>
  </si>
  <si>
    <t>Tuvalu</t>
  </si>
  <si>
    <t>Nauru</t>
  </si>
  <si>
    <t xml:space="preserve">Agriculture Part of GDP </t>
  </si>
  <si>
    <t xml:space="preserve">Manufacturing, Processing, and Refining Part of GDP </t>
  </si>
  <si>
    <t>Service Part of GDP</t>
  </si>
  <si>
    <t>Top Five Key Sources of employment</t>
  </si>
  <si>
    <t>Top Five Key Raw materials</t>
  </si>
  <si>
    <t>Top Five Key Manufactured, Processed, and Refined Products</t>
  </si>
  <si>
    <t>Startups in Last Five years</t>
  </si>
  <si>
    <t>per capita GDP</t>
  </si>
  <si>
    <t>Income in 2024</t>
  </si>
  <si>
    <t>income in 2023</t>
  </si>
  <si>
    <t>income in 2025</t>
  </si>
  <si>
    <t>GDP Growth in 2024</t>
  </si>
  <si>
    <t>GDP GROWTH IN 2025</t>
  </si>
  <si>
    <t>Income Growth in 2024</t>
  </si>
  <si>
    <t>Income Growth in 2025</t>
  </si>
  <si>
    <r>
      <t xml:space="preserve">GDP IN 2024 </t>
    </r>
    <r>
      <rPr>
        <b/>
        <i/>
        <sz val="10"/>
        <color theme="1"/>
        <rFont val="Boucherie Block"/>
      </rPr>
      <t>(billion USD)</t>
    </r>
  </si>
  <si>
    <r>
      <t xml:space="preserve">GDP IN 2023 </t>
    </r>
    <r>
      <rPr>
        <b/>
        <i/>
        <sz val="10"/>
        <color theme="1"/>
        <rFont val="Boucherie Block"/>
      </rPr>
      <t>(billion USD)</t>
    </r>
  </si>
  <si>
    <r>
      <t xml:space="preserve">GDP IN 2025 </t>
    </r>
    <r>
      <rPr>
        <b/>
        <i/>
        <sz val="10"/>
        <color theme="1"/>
        <rFont val="Boucherie Block"/>
      </rPr>
      <t>(billion USD)</t>
    </r>
  </si>
  <si>
    <r>
      <t xml:space="preserve">GDP IN 2024 </t>
    </r>
    <r>
      <rPr>
        <b/>
        <i/>
        <sz val="10"/>
        <color theme="1"/>
        <rFont val="Boucherie Block"/>
      </rPr>
      <t>(billion LC)</t>
    </r>
  </si>
  <si>
    <r>
      <t xml:space="preserve">GDP IN 2023 </t>
    </r>
    <r>
      <rPr>
        <b/>
        <i/>
        <sz val="10"/>
        <color theme="1"/>
        <rFont val="Boucherie Block"/>
      </rPr>
      <t>(billion LC)</t>
    </r>
  </si>
  <si>
    <r>
      <t xml:space="preserve">GDP IN 2025 </t>
    </r>
    <r>
      <rPr>
        <b/>
        <i/>
        <sz val="10"/>
        <color theme="1"/>
        <rFont val="Boucherie Block"/>
      </rPr>
      <t>(billion LC)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</si>
</sst>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Boucherie Block"/>
    </font>
    <font>
      <b/>
      <i/>
      <sz val="12"/>
      <color theme="1"/>
      <name val="Boucherie Block"/>
    </font>
    <font>
      <b/>
      <i/>
      <sz val="10"/>
      <color theme="1"/>
      <name val="Boucherie Bloc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CF94B-7069-4CC0-A086-E8D27BE1EE87}">
  <dimension ref="A1:AS189"/>
  <sheetViews>
    <sheetView tabSelected="1" workbookViewId="0">
      <selection activeCell="C10" sqref="C10"/>
    </sheetView>
  </sheetViews>
  <sheetFormatPr defaultRowHeight="15.6" x14ac:dyDescent="0.3"/>
  <cols>
    <col min="1" max="1" width="25.77734375" style="1" bestFit="1" customWidth="1"/>
    <col min="2" max="2" width="12.88671875" style="1" bestFit="1" customWidth="1"/>
    <col min="3" max="3" width="12.88671875" style="1" customWidth="1"/>
    <col min="4" max="4" width="12.77734375" style="1" bestFit="1" customWidth="1"/>
    <col min="5" max="5" width="12.77734375" style="1" customWidth="1"/>
    <col min="6" max="6" width="12.6640625" style="1" bestFit="1" customWidth="1"/>
    <col min="7" max="7" width="12.6640625" style="1" customWidth="1"/>
    <col min="8" max="8" width="21.44140625" style="1" bestFit="1" customWidth="1"/>
    <col min="9" max="9" width="21.21875" style="1" bestFit="1" customWidth="1"/>
    <col min="10" max="10" width="12.88671875" style="1" bestFit="1" customWidth="1"/>
    <col min="11" max="11" width="16.88671875" style="1" bestFit="1" customWidth="1"/>
    <col min="12" max="12" width="16.6640625" style="1" bestFit="1" customWidth="1"/>
    <col min="13" max="13" width="16.5546875" style="1" bestFit="1" customWidth="1"/>
    <col min="14" max="14" width="16.44140625" style="1" bestFit="1" customWidth="1"/>
    <col min="15" max="15" width="20.6640625" style="1" bestFit="1" customWidth="1"/>
    <col min="16" max="16" width="25.21875" style="1" bestFit="1" customWidth="1"/>
    <col min="17" max="17" width="25.21875" style="1" customWidth="1"/>
    <col min="18" max="18" width="27.44140625" style="1" bestFit="1" customWidth="1"/>
    <col min="19" max="19" width="30.6640625" style="1" bestFit="1" customWidth="1"/>
    <col min="20" max="20" width="22.109375" style="1" bestFit="1" customWidth="1"/>
    <col min="21" max="21" width="30.6640625" style="1" bestFit="1" customWidth="1"/>
    <col min="22" max="22" width="25.88671875" style="1" bestFit="1" customWidth="1"/>
    <col min="23" max="23" width="31.21875" style="1" bestFit="1" customWidth="1"/>
    <col min="24" max="24" width="35.33203125" style="1" bestFit="1" customWidth="1"/>
    <col min="25" max="25" width="11.33203125" style="1" bestFit="1" customWidth="1"/>
    <col min="26" max="26" width="16.5546875" style="1" bestFit="1" customWidth="1"/>
    <col min="27" max="27" width="13.88671875" style="1" bestFit="1" customWidth="1"/>
    <col min="28" max="28" width="16.109375" style="1" bestFit="1" customWidth="1"/>
    <col min="29" max="29" width="7.109375" style="1" bestFit="1" customWidth="1"/>
    <col min="30" max="30" width="9.33203125" style="1" bestFit="1" customWidth="1"/>
    <col min="31" max="31" width="22.5546875" style="1" bestFit="1" customWidth="1"/>
    <col min="32" max="32" width="11.88671875" style="1" bestFit="1" customWidth="1"/>
    <col min="33" max="33" width="31.109375" style="1" bestFit="1" customWidth="1"/>
    <col min="34" max="34" width="49.5546875" style="1" bestFit="1" customWidth="1"/>
    <col min="35" max="35" width="36.88671875" style="1" bestFit="1" customWidth="1"/>
    <col min="36" max="36" width="43" style="1" bestFit="1" customWidth="1"/>
    <col min="37" max="37" width="45.21875" style="1" bestFit="1" customWidth="1"/>
    <col min="38" max="38" width="29.21875" style="1" bestFit="1" customWidth="1"/>
    <col min="39" max="39" width="34.5546875" style="1" bestFit="1" customWidth="1"/>
    <col min="40" max="40" width="31.77734375" style="1" bestFit="1" customWidth="1"/>
    <col min="41" max="41" width="34.109375" style="1" bestFit="1" customWidth="1"/>
    <col min="42" max="42" width="31.5546875" style="1" bestFit="1" customWidth="1"/>
    <col min="43" max="43" width="36.77734375" style="1" bestFit="1" customWidth="1"/>
    <col min="44" max="44" width="34.109375" style="1" bestFit="1" customWidth="1"/>
    <col min="45" max="45" width="36.33203125" style="1" bestFit="1" customWidth="1"/>
    <col min="46" max="16384" width="8.88671875" style="1"/>
  </cols>
  <sheetData>
    <row r="1" spans="1:45" s="2" customFormat="1" ht="34.799999999999997" x14ac:dyDescent="0.3">
      <c r="A1" s="3" t="s">
        <v>0</v>
      </c>
      <c r="B1" s="5" t="s">
        <v>227</v>
      </c>
      <c r="C1" s="5" t="s">
        <v>230</v>
      </c>
      <c r="D1" s="5" t="s">
        <v>228</v>
      </c>
      <c r="E1" s="5" t="s">
        <v>231</v>
      </c>
      <c r="F1" s="5" t="s">
        <v>229</v>
      </c>
      <c r="G1" s="5" t="s">
        <v>232</v>
      </c>
      <c r="H1" s="3" t="s">
        <v>223</v>
      </c>
      <c r="I1" s="3" t="s">
        <v>224</v>
      </c>
      <c r="J1" s="3" t="s">
        <v>1</v>
      </c>
      <c r="K1" s="3" t="s">
        <v>219</v>
      </c>
      <c r="L1" s="3" t="s">
        <v>220</v>
      </c>
      <c r="M1" s="3" t="s">
        <v>221</v>
      </c>
      <c r="N1" s="3" t="s">
        <v>222</v>
      </c>
      <c r="O1" s="3" t="s">
        <v>23</v>
      </c>
      <c r="P1" s="3" t="s">
        <v>225</v>
      </c>
      <c r="Q1" s="3" t="s">
        <v>226</v>
      </c>
      <c r="R1" s="3" t="s">
        <v>212</v>
      </c>
      <c r="S1" s="5" t="s">
        <v>213</v>
      </c>
      <c r="T1" s="5" t="s">
        <v>214</v>
      </c>
      <c r="U1" s="5" t="s">
        <v>218</v>
      </c>
      <c r="V1" s="5" t="s">
        <v>215</v>
      </c>
      <c r="W1" s="5" t="s">
        <v>216</v>
      </c>
      <c r="X1" s="5" t="s">
        <v>217</v>
      </c>
      <c r="Y1" s="3" t="s">
        <v>2</v>
      </c>
      <c r="Z1" s="3" t="s">
        <v>3</v>
      </c>
      <c r="AA1" s="3" t="s">
        <v>4</v>
      </c>
      <c r="AB1" s="3" t="s">
        <v>5</v>
      </c>
      <c r="AC1" s="3" t="s">
        <v>6</v>
      </c>
      <c r="AD1" s="3" t="s">
        <v>7</v>
      </c>
      <c r="AE1" s="3" t="s">
        <v>16</v>
      </c>
      <c r="AF1" s="3" t="s">
        <v>17</v>
      </c>
      <c r="AG1" s="3" t="s">
        <v>18</v>
      </c>
      <c r="AH1" s="3" t="s">
        <v>19</v>
      </c>
      <c r="AI1" s="3" t="s">
        <v>20</v>
      </c>
      <c r="AJ1" s="3" t="s">
        <v>21</v>
      </c>
      <c r="AK1" s="3" t="s">
        <v>22</v>
      </c>
      <c r="AL1" s="3" t="s">
        <v>8</v>
      </c>
      <c r="AM1" s="3" t="s">
        <v>9</v>
      </c>
      <c r="AN1" s="3" t="s">
        <v>10</v>
      </c>
      <c r="AO1" s="3" t="s">
        <v>11</v>
      </c>
      <c r="AP1" s="3" t="s">
        <v>12</v>
      </c>
      <c r="AQ1" s="3" t="s">
        <v>13</v>
      </c>
      <c r="AR1" s="3" t="s">
        <v>14</v>
      </c>
      <c r="AS1" s="3" t="s">
        <v>15</v>
      </c>
    </row>
    <row r="2" spans="1:45" x14ac:dyDescent="0.3">
      <c r="A2" s="4" t="s">
        <v>24</v>
      </c>
      <c r="B2" s="4">
        <f>29.3*1000</f>
        <v>29300</v>
      </c>
      <c r="C2" s="4">
        <f>29.3*1000</f>
        <v>29300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x14ac:dyDescent="0.3">
      <c r="A3" s="4" t="s">
        <v>25</v>
      </c>
      <c r="B3" s="4">
        <f>19.16*1000</f>
        <v>19160</v>
      </c>
      <c r="C3" s="4">
        <f>134.81*1000</f>
        <v>134810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x14ac:dyDescent="0.3">
      <c r="A4" s="4" t="s">
        <v>26</v>
      </c>
      <c r="B4" s="4">
        <f>4.68*1000</f>
        <v>4680</v>
      </c>
      <c r="C4" s="4">
        <f>4.31*1000</f>
        <v>4310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x14ac:dyDescent="0.3">
      <c r="A5" s="4" t="s">
        <v>27</v>
      </c>
      <c r="B5" s="4">
        <f>4.19*1000</f>
        <v>4190</v>
      </c>
      <c r="C5" s="4">
        <f>609.29*1000</f>
        <v>609290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x14ac:dyDescent="0.3">
      <c r="A6" s="4" t="s">
        <v>28</v>
      </c>
      <c r="B6" s="4">
        <f>3.7*1000</f>
        <v>3700</v>
      </c>
      <c r="C6" s="4">
        <f>2.78*1000</f>
        <v>2780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3">
      <c r="A7" s="4" t="s">
        <v>29</v>
      </c>
      <c r="B7" s="4">
        <f>3.76*1000</f>
        <v>3760</v>
      </c>
      <c r="C7" s="4">
        <f>330.68*1000</f>
        <v>330680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3">
      <c r="A8" s="4" t="s">
        <v>30</v>
      </c>
      <c r="B8" s="4">
        <f>((3.16+3.18)/2)*1000</f>
        <v>3170</v>
      </c>
      <c r="C8" s="4">
        <f>2.86*1000</f>
        <v>2860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x14ac:dyDescent="0.3">
      <c r="A9" s="4" t="s">
        <v>31</v>
      </c>
      <c r="B9" s="4">
        <f>2.38*1000</f>
        <v>2380</v>
      </c>
      <c r="C9" s="4">
        <f>2.199*1000</f>
        <v>2199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x14ac:dyDescent="0.3">
      <c r="A10" s="4" t="s">
        <v>32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x14ac:dyDescent="0.3">
      <c r="A11" s="4" t="s">
        <v>33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x14ac:dyDescent="0.3">
      <c r="A12" s="4" t="s">
        <v>34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x14ac:dyDescent="0.3">
      <c r="A13" s="4" t="s">
        <v>35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x14ac:dyDescent="0.3">
      <c r="A14" s="4" t="s">
        <v>36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x14ac:dyDescent="0.3">
      <c r="A15" s="4" t="s">
        <v>37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x14ac:dyDescent="0.3">
      <c r="A16" s="4" t="s">
        <v>38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x14ac:dyDescent="0.3">
      <c r="A17" s="4" t="s">
        <v>39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x14ac:dyDescent="0.3">
      <c r="A18" s="4" t="s">
        <v>40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x14ac:dyDescent="0.3">
      <c r="A19" s="4" t="s">
        <v>41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x14ac:dyDescent="0.3">
      <c r="A20" s="4" t="s">
        <v>42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x14ac:dyDescent="0.3">
      <c r="A21" s="4" t="s">
        <v>43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x14ac:dyDescent="0.3">
      <c r="A22" s="4" t="s">
        <v>44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x14ac:dyDescent="0.3">
      <c r="A23" s="4" t="s">
        <v>45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x14ac:dyDescent="0.3">
      <c r="A24" s="4" t="s">
        <v>46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x14ac:dyDescent="0.3">
      <c r="A25" s="4" t="s">
        <v>47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x14ac:dyDescent="0.3">
      <c r="A26" s="4" t="s">
        <v>48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x14ac:dyDescent="0.3">
      <c r="A27" s="4" t="s">
        <v>49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x14ac:dyDescent="0.3">
      <c r="A28" s="4" t="s">
        <v>50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x14ac:dyDescent="0.3">
      <c r="A29" s="4" t="s">
        <v>51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x14ac:dyDescent="0.3">
      <c r="A30" s="4" t="s">
        <v>52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x14ac:dyDescent="0.3">
      <c r="A31" s="4" t="s">
        <v>53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x14ac:dyDescent="0.3">
      <c r="A32" s="4" t="s">
        <v>54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x14ac:dyDescent="0.3">
      <c r="A33" s="4" t="s">
        <v>55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x14ac:dyDescent="0.3">
      <c r="A34" s="4" t="s">
        <v>56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x14ac:dyDescent="0.3">
      <c r="A35" s="4" t="s">
        <v>57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x14ac:dyDescent="0.3">
      <c r="A36" s="4" t="s">
        <v>58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 x14ac:dyDescent="0.3">
      <c r="A37" s="4" t="s">
        <v>59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 x14ac:dyDescent="0.3">
      <c r="A38" s="4" t="s">
        <v>60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 x14ac:dyDescent="0.3">
      <c r="A39" s="4" t="s">
        <v>61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 x14ac:dyDescent="0.3">
      <c r="A40" s="4" t="s">
        <v>62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 x14ac:dyDescent="0.3">
      <c r="A41" s="4" t="s">
        <v>63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 x14ac:dyDescent="0.3">
      <c r="A42" s="4" t="s">
        <v>64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 x14ac:dyDescent="0.3">
      <c r="A43" s="4" t="s">
        <v>65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 x14ac:dyDescent="0.3">
      <c r="A44" s="4" t="s">
        <v>66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45" x14ac:dyDescent="0.3">
      <c r="A45" s="4" t="s">
        <v>67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 x14ac:dyDescent="0.3">
      <c r="A46" s="4" t="s">
        <v>68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 x14ac:dyDescent="0.3">
      <c r="A47" s="4" t="s">
        <v>69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 x14ac:dyDescent="0.3">
      <c r="A48" s="4" t="s">
        <v>70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 x14ac:dyDescent="0.3">
      <c r="A49" s="4" t="s">
        <v>71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 x14ac:dyDescent="0.3">
      <c r="A50" s="4" t="s">
        <v>72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x14ac:dyDescent="0.3">
      <c r="A51" s="4" t="s">
        <v>73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 x14ac:dyDescent="0.3">
      <c r="A52" s="4" t="s">
        <v>74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x14ac:dyDescent="0.3">
      <c r="A53" s="4" t="s">
        <v>75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 x14ac:dyDescent="0.3">
      <c r="A54" s="4" t="s">
        <v>76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 x14ac:dyDescent="0.3">
      <c r="A55" s="4" t="s">
        <v>77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 x14ac:dyDescent="0.3">
      <c r="A56" s="4" t="s">
        <v>78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 x14ac:dyDescent="0.3">
      <c r="A57" s="4" t="s">
        <v>79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 x14ac:dyDescent="0.3">
      <c r="A58" s="4" t="s">
        <v>80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 x14ac:dyDescent="0.3">
      <c r="A59" s="4" t="s">
        <v>81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x14ac:dyDescent="0.3">
      <c r="A60" s="4" t="s">
        <v>82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 x14ac:dyDescent="0.3">
      <c r="A61" s="4" t="s">
        <v>83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 x14ac:dyDescent="0.3">
      <c r="A62" s="4" t="s">
        <v>84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 x14ac:dyDescent="0.3">
      <c r="A63" s="4" t="s">
        <v>85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 x14ac:dyDescent="0.3">
      <c r="A64" s="4" t="s">
        <v>86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 x14ac:dyDescent="0.3">
      <c r="A65" s="4" t="s">
        <v>87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 x14ac:dyDescent="0.3">
      <c r="A66" s="4" t="s">
        <v>88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 x14ac:dyDescent="0.3">
      <c r="A67" s="4" t="s">
        <v>89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 x14ac:dyDescent="0.3">
      <c r="A68" s="4" t="s">
        <v>90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spans="1:45" x14ac:dyDescent="0.3">
      <c r="A69" s="4" t="s">
        <v>91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spans="1:45" x14ac:dyDescent="0.3">
      <c r="A70" s="4" t="s">
        <v>92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spans="1:45" x14ac:dyDescent="0.3">
      <c r="A71" s="4" t="s">
        <v>93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spans="1:45" x14ac:dyDescent="0.3">
      <c r="A72" s="4" t="s">
        <v>94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spans="1:45" x14ac:dyDescent="0.3">
      <c r="A73" s="4" t="s">
        <v>95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spans="1:45" x14ac:dyDescent="0.3">
      <c r="A74" s="4" t="s">
        <v>96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spans="1:45" x14ac:dyDescent="0.3">
      <c r="A75" s="4" t="s">
        <v>97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spans="1:45" x14ac:dyDescent="0.3">
      <c r="A76" s="4" t="s">
        <v>98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spans="1:45" x14ac:dyDescent="0.3">
      <c r="A77" s="4" t="s">
        <v>99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spans="1:45" x14ac:dyDescent="0.3">
      <c r="A78" s="4" t="s">
        <v>100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spans="1:45" x14ac:dyDescent="0.3">
      <c r="A79" s="4" t="s">
        <v>101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spans="1:45" x14ac:dyDescent="0.3">
      <c r="A80" s="4" t="s">
        <v>102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spans="1:45" x14ac:dyDescent="0.3">
      <c r="A81" s="4" t="s">
        <v>103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spans="1:45" x14ac:dyDescent="0.3">
      <c r="A82" s="4" t="s">
        <v>104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spans="1:45" x14ac:dyDescent="0.3">
      <c r="A83" s="4" t="s">
        <v>105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spans="1:45" x14ac:dyDescent="0.3">
      <c r="A84" s="4" t="s">
        <v>106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spans="1:45" x14ac:dyDescent="0.3">
      <c r="A85" s="4" t="s">
        <v>107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spans="1:45" x14ac:dyDescent="0.3">
      <c r="A86" s="4" t="s">
        <v>108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spans="1:45" x14ac:dyDescent="0.3">
      <c r="A87" s="4" t="s">
        <v>109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spans="1:45" x14ac:dyDescent="0.3">
      <c r="A88" s="4" t="s">
        <v>110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spans="1:45" x14ac:dyDescent="0.3">
      <c r="A89" s="4" t="s">
        <v>111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spans="1:45" x14ac:dyDescent="0.3">
      <c r="A90" s="4" t="s">
        <v>112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 x14ac:dyDescent="0.3">
      <c r="A91" s="4" t="s">
        <v>113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spans="1:45" x14ac:dyDescent="0.3">
      <c r="A92" s="4" t="s">
        <v>114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spans="1:45" x14ac:dyDescent="0.3">
      <c r="A93" s="4" t="s">
        <v>115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spans="1:45" x14ac:dyDescent="0.3">
      <c r="A94" s="4" t="s">
        <v>116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spans="1:45" x14ac:dyDescent="0.3">
      <c r="A95" s="4" t="s">
        <v>117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spans="1:45" x14ac:dyDescent="0.3">
      <c r="A96" s="4" t="s">
        <v>118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spans="1:45" x14ac:dyDescent="0.3">
      <c r="A97" s="4" t="s">
        <v>119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spans="1:45" x14ac:dyDescent="0.3">
      <c r="A98" s="4" t="s">
        <v>120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spans="1:45" x14ac:dyDescent="0.3">
      <c r="A99" s="4" t="s">
        <v>121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spans="1:45" x14ac:dyDescent="0.3">
      <c r="A100" s="4" t="s">
        <v>122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spans="1:45" x14ac:dyDescent="0.3">
      <c r="A101" s="4" t="s">
        <v>123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spans="1:45" x14ac:dyDescent="0.3">
      <c r="A102" s="4" t="s">
        <v>124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spans="1:45" x14ac:dyDescent="0.3">
      <c r="A103" s="4" t="s">
        <v>125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spans="1:45" x14ac:dyDescent="0.3">
      <c r="A104" s="4" t="s">
        <v>126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spans="1:45" x14ac:dyDescent="0.3">
      <c r="A105" s="4" t="s">
        <v>127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spans="1:45" x14ac:dyDescent="0.3">
      <c r="A106" s="4" t="s">
        <v>128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spans="1:45" x14ac:dyDescent="0.3">
      <c r="A107" s="4" t="s">
        <v>129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spans="1:45" x14ac:dyDescent="0.3">
      <c r="A108" s="4" t="s">
        <v>130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spans="1:45" x14ac:dyDescent="0.3">
      <c r="A109" s="4" t="s">
        <v>131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spans="1:45" x14ac:dyDescent="0.3">
      <c r="A110" s="4" t="s">
        <v>132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spans="1:45" x14ac:dyDescent="0.3">
      <c r="A111" s="4" t="s">
        <v>133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spans="1:45" x14ac:dyDescent="0.3">
      <c r="A112" s="4" t="s">
        <v>134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45" x14ac:dyDescent="0.3">
      <c r="A113" s="4" t="s">
        <v>135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spans="1:45" x14ac:dyDescent="0.3">
      <c r="A114" s="4" t="s">
        <v>136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spans="1:45" x14ac:dyDescent="0.3">
      <c r="A115" s="4" t="s">
        <v>137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 x14ac:dyDescent="0.3">
      <c r="A116" s="4" t="s">
        <v>138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 x14ac:dyDescent="0.3">
      <c r="A117" s="4" t="s">
        <v>139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 x14ac:dyDescent="0.3">
      <c r="A118" s="4" t="s">
        <v>140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spans="1:45" x14ac:dyDescent="0.3">
      <c r="A119" s="4" t="s">
        <v>141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 x14ac:dyDescent="0.3">
      <c r="A120" s="4" t="s">
        <v>142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spans="1:45" x14ac:dyDescent="0.3">
      <c r="A121" s="4" t="s">
        <v>143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 x14ac:dyDescent="0.3">
      <c r="A122" s="4" t="s">
        <v>144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 x14ac:dyDescent="0.3">
      <c r="A123" s="4" t="s">
        <v>145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 x14ac:dyDescent="0.3">
      <c r="A124" s="4" t="s">
        <v>146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 x14ac:dyDescent="0.3">
      <c r="A125" s="4" t="s">
        <v>147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 x14ac:dyDescent="0.3">
      <c r="A126" s="4" t="s">
        <v>148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 x14ac:dyDescent="0.3">
      <c r="A127" s="4" t="s">
        <v>149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 x14ac:dyDescent="0.3">
      <c r="A128" s="4" t="s">
        <v>150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 x14ac:dyDescent="0.3">
      <c r="A129" s="4" t="s">
        <v>151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 x14ac:dyDescent="0.3">
      <c r="A130" s="4" t="s">
        <v>152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 x14ac:dyDescent="0.3">
      <c r="A131" s="4" t="s">
        <v>153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 x14ac:dyDescent="0.3">
      <c r="A132" s="4" t="s">
        <v>154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 x14ac:dyDescent="0.3">
      <c r="A133" s="4" t="s">
        <v>155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 x14ac:dyDescent="0.3">
      <c r="A134" s="4" t="s">
        <v>156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 x14ac:dyDescent="0.3">
      <c r="A135" s="4" t="s">
        <v>157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 x14ac:dyDescent="0.3">
      <c r="A136" s="4" t="s">
        <v>158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 x14ac:dyDescent="0.3">
      <c r="A137" s="4" t="s">
        <v>159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 x14ac:dyDescent="0.3">
      <c r="A138" s="4" t="s">
        <v>160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 x14ac:dyDescent="0.3">
      <c r="A139" s="4" t="s">
        <v>161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 x14ac:dyDescent="0.3">
      <c r="A140" s="4" t="s">
        <v>162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 x14ac:dyDescent="0.3">
      <c r="A141" s="4" t="s">
        <v>163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spans="1:45" x14ac:dyDescent="0.3">
      <c r="A142" s="4" t="s">
        <v>164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spans="1:45" x14ac:dyDescent="0.3">
      <c r="A143" s="4" t="s">
        <v>165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spans="1:45" x14ac:dyDescent="0.3">
      <c r="A144" s="4" t="s">
        <v>166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spans="1:45" x14ac:dyDescent="0.3">
      <c r="A145" s="4" t="s">
        <v>167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spans="1:45" x14ac:dyDescent="0.3">
      <c r="A146" s="4" t="s">
        <v>168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spans="1:45" x14ac:dyDescent="0.3">
      <c r="A147" s="4" t="s">
        <v>169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spans="1:45" x14ac:dyDescent="0.3">
      <c r="A148" s="4" t="s">
        <v>170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spans="1:45" x14ac:dyDescent="0.3">
      <c r="A149" s="4" t="s">
        <v>171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spans="1:45" x14ac:dyDescent="0.3">
      <c r="A150" s="4" t="s">
        <v>172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spans="1:45" x14ac:dyDescent="0.3">
      <c r="A151" s="4" t="s">
        <v>173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spans="1:45" x14ac:dyDescent="0.3">
      <c r="A152" s="4" t="s">
        <v>174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spans="1:45" x14ac:dyDescent="0.3">
      <c r="A153" s="4" t="s">
        <v>175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45" x14ac:dyDescent="0.3">
      <c r="A154" s="4" t="s">
        <v>176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spans="1:45" x14ac:dyDescent="0.3">
      <c r="A155" s="4" t="s">
        <v>177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spans="1:45" x14ac:dyDescent="0.3">
      <c r="A156" s="4" t="s">
        <v>178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spans="1:45" x14ac:dyDescent="0.3">
      <c r="A157" s="4" t="s">
        <v>179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spans="1:45" x14ac:dyDescent="0.3">
      <c r="A158" s="4" t="s">
        <v>180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spans="1:45" x14ac:dyDescent="0.3">
      <c r="A159" s="4" t="s">
        <v>181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spans="1:45" x14ac:dyDescent="0.3">
      <c r="A160" s="4" t="s">
        <v>182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spans="1:45" x14ac:dyDescent="0.3">
      <c r="A161" s="4" t="s">
        <v>183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spans="1:45" x14ac:dyDescent="0.3">
      <c r="A162" s="4" t="s">
        <v>184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spans="1:45" x14ac:dyDescent="0.3">
      <c r="A163" s="4" t="s">
        <v>185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spans="1:45" x14ac:dyDescent="0.3">
      <c r="A164" s="4" t="s">
        <v>186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spans="1:45" x14ac:dyDescent="0.3">
      <c r="A165" s="4" t="s">
        <v>187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spans="1:45" x14ac:dyDescent="0.3">
      <c r="A166" s="4" t="s">
        <v>188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spans="1:45" x14ac:dyDescent="0.3">
      <c r="A167" s="4" t="s">
        <v>189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spans="1:45" x14ac:dyDescent="0.3">
      <c r="A168" s="4" t="s">
        <v>190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spans="1:45" x14ac:dyDescent="0.3">
      <c r="A169" s="4" t="s">
        <v>191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spans="1:45" x14ac:dyDescent="0.3">
      <c r="A170" s="4" t="s">
        <v>192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spans="1:45" x14ac:dyDescent="0.3">
      <c r="A171" s="4" t="s">
        <v>193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spans="1:45" x14ac:dyDescent="0.3">
      <c r="A172" s="4" t="s">
        <v>194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spans="1:45" x14ac:dyDescent="0.3">
      <c r="A173" s="4" t="s">
        <v>195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spans="1:45" x14ac:dyDescent="0.3">
      <c r="A174" s="4" t="s">
        <v>196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spans="1:45" x14ac:dyDescent="0.3">
      <c r="A175" s="4" t="s">
        <v>197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spans="1:45" x14ac:dyDescent="0.3">
      <c r="A176" s="4" t="s">
        <v>198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spans="1:45" x14ac:dyDescent="0.3">
      <c r="A177" s="4" t="s">
        <v>199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spans="1:45" x14ac:dyDescent="0.3">
      <c r="A178" s="4" t="s">
        <v>200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spans="1:45" x14ac:dyDescent="0.3">
      <c r="A179" s="4" t="s">
        <v>201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spans="1:45" x14ac:dyDescent="0.3">
      <c r="A180" s="4" t="s">
        <v>202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spans="1:45" x14ac:dyDescent="0.3">
      <c r="A181" s="4" t="s">
        <v>203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spans="1:45" x14ac:dyDescent="0.3">
      <c r="A182" s="4" t="s">
        <v>204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spans="1:45" x14ac:dyDescent="0.3">
      <c r="A183" s="4" t="s">
        <v>205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spans="1:45" x14ac:dyDescent="0.3">
      <c r="A184" s="4" t="s">
        <v>206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45" x14ac:dyDescent="0.3">
      <c r="A185" s="4" t="s">
        <v>207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spans="1:45" x14ac:dyDescent="0.3">
      <c r="A186" s="4" t="s">
        <v>208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spans="1:45" x14ac:dyDescent="0.3">
      <c r="A187" s="4" t="s">
        <v>209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spans="1:45" x14ac:dyDescent="0.3">
      <c r="A188" s="4" t="s">
        <v>211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spans="1:45" x14ac:dyDescent="0.3">
      <c r="A189" s="4" t="s">
        <v>210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Nation-Wise_Salary_data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Steelras Gengacross</dc:creator>
  <cp:lastModifiedBy>Steelras Gengacross</cp:lastModifiedBy>
  <dcterms:created xsi:type="dcterms:W3CDTF">2026-08-29T03:34:11Z</dcterms:created>
  <dcterms:modified xsi:type="dcterms:W3CDTF">2026-09-18T05:26:34Z</dcterms:modified>
</cp:coreProperties>
</file>