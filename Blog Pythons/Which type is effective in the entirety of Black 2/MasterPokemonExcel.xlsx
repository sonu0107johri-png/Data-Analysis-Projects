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istrator\Desktop\Blog Pythons\Which type is effective in the entirety of Black 2\"/>
    </mc:Choice>
  </mc:AlternateContent>
  <xr:revisionPtr revIDLastSave="0" documentId="13_ncr:1_{8AAFF3C6-AC10-4A2B-B816-656217914F5C}" xr6:coauthVersionLast="47" xr6:coauthVersionMax="47" xr10:uidLastSave="{00000000-0000-0000-0000-000000000000}"/>
  <bookViews>
    <workbookView xWindow="-108" yWindow="-108" windowWidth="23256" windowHeight="12456" firstSheet="18" activeTab="18" xr2:uid="{E0C649A5-33B9-453E-AB53-6E88ECFC16F7}"/>
  </bookViews>
  <sheets>
    <sheet name="Type Introduction" sheetId="35" r:id="rId1"/>
    <sheet name="Ability Description" sheetId="36" r:id="rId2"/>
    <sheet name="Bug Pokemon" sheetId="1" r:id="rId3"/>
    <sheet name="Bug Moves" sheetId="2" r:id="rId4"/>
    <sheet name="Dark Pokemon" sheetId="3" r:id="rId5"/>
    <sheet name="Dark Moves" sheetId="4" r:id="rId6"/>
    <sheet name="Dragon Pokemon" sheetId="5" r:id="rId7"/>
    <sheet name="Dragon Moves" sheetId="6" r:id="rId8"/>
    <sheet name="Electric Pokemon" sheetId="7" r:id="rId9"/>
    <sheet name="Electric Moves" sheetId="8" r:id="rId10"/>
    <sheet name="Fighting Pokemon" sheetId="9" r:id="rId11"/>
    <sheet name="Fighting Moves" sheetId="10" r:id="rId12"/>
    <sheet name="Fire Pokemon" sheetId="11" r:id="rId13"/>
    <sheet name="Fire Moves" sheetId="12" r:id="rId14"/>
    <sheet name="Flying Pokemon" sheetId="13" r:id="rId15"/>
    <sheet name="Flying Moves" sheetId="14" r:id="rId16"/>
    <sheet name="Ghost Pokemon" sheetId="15" r:id="rId17"/>
    <sheet name="Ghost Moves" sheetId="16" r:id="rId18"/>
    <sheet name="Grass Pokemon" sheetId="17" r:id="rId19"/>
    <sheet name="Grass Moves" sheetId="18" r:id="rId20"/>
    <sheet name="Ground Pokemon" sheetId="19" r:id="rId21"/>
    <sheet name="Ground Moves" sheetId="20" r:id="rId22"/>
    <sheet name="Ice Pokemon" sheetId="21" r:id="rId23"/>
    <sheet name="Ice Moves" sheetId="22" r:id="rId24"/>
    <sheet name="Normal Pokemon" sheetId="23" r:id="rId25"/>
    <sheet name="Normal Moves" sheetId="24" r:id="rId26"/>
    <sheet name="Poison Pokemon" sheetId="25" r:id="rId27"/>
    <sheet name="Poison Moves" sheetId="26" r:id="rId28"/>
    <sheet name="Psychic Pokemon" sheetId="27" r:id="rId29"/>
    <sheet name="Psychic Moves" sheetId="28" r:id="rId30"/>
    <sheet name="Rock Pokemon" sheetId="29" r:id="rId31"/>
    <sheet name="Rock Moves" sheetId="30" r:id="rId32"/>
    <sheet name="Steel Pokemon" sheetId="31" r:id="rId33"/>
    <sheet name="Steel Type" sheetId="32" r:id="rId34"/>
    <sheet name="Water Pokemon" sheetId="33" r:id="rId35"/>
    <sheet name="Water Type" sheetId="34" r:id="rId3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 i="27" l="1"/>
  <c r="O2" i="11"/>
</calcChain>
</file>

<file path=xl/sharedStrings.xml><?xml version="1.0" encoding="utf-8"?>
<sst xmlns="http://schemas.openxmlformats.org/spreadsheetml/2006/main" count="671" uniqueCount="58">
  <si>
    <t>Pokemon</t>
  </si>
  <si>
    <t>Location</t>
  </si>
  <si>
    <t>Level Caught</t>
  </si>
  <si>
    <t>HP</t>
  </si>
  <si>
    <t>Speed</t>
  </si>
  <si>
    <t>Attack</t>
  </si>
  <si>
    <t>Defense</t>
  </si>
  <si>
    <t>Sp. Attack</t>
  </si>
  <si>
    <t>Sp. Def</t>
  </si>
  <si>
    <t>Total</t>
  </si>
  <si>
    <t>Ability-1</t>
  </si>
  <si>
    <t>Ability-2</t>
  </si>
  <si>
    <t>Hidden Ability</t>
  </si>
  <si>
    <t>Evolution Line</t>
  </si>
  <si>
    <t>Vulnerable Type</t>
  </si>
  <si>
    <t>Effective Type</t>
  </si>
  <si>
    <t>Typing</t>
  </si>
  <si>
    <t>Moves</t>
  </si>
  <si>
    <t>Inaugeration Generation</t>
  </si>
  <si>
    <t>Type</t>
  </si>
  <si>
    <t>Category</t>
  </si>
  <si>
    <t>Power</t>
  </si>
  <si>
    <t>Accuracy</t>
  </si>
  <si>
    <t>PP</t>
  </si>
  <si>
    <t>Directly Learnt by which Pokemon</t>
  </si>
  <si>
    <t>Learnt through TMs by which Pokemon</t>
  </si>
  <si>
    <t>Learnt by Move tutor which Pokemon</t>
  </si>
  <si>
    <t>Special Effects</t>
  </si>
  <si>
    <t>Description</t>
  </si>
  <si>
    <t>Percentage of Appearing</t>
  </si>
  <si>
    <t>Victini</t>
  </si>
  <si>
    <t>Psychic / Fire</t>
  </si>
  <si>
    <t>Snivy</t>
  </si>
  <si>
    <t>Servine</t>
  </si>
  <si>
    <t>Serperior</t>
  </si>
  <si>
    <t>Grass</t>
  </si>
  <si>
    <t>No Evolution</t>
  </si>
  <si>
    <t>Species</t>
  </si>
  <si>
    <t>Victory</t>
  </si>
  <si>
    <t>General Description</t>
  </si>
  <si>
    <t>Not Available</t>
  </si>
  <si>
    <t>Victory Star</t>
  </si>
  <si>
    <t>NA</t>
  </si>
  <si>
    <t xml:space="preserve">Abiltiy </t>
  </si>
  <si>
    <t>Pokemon with Primary Ability</t>
  </si>
  <si>
    <t>Pokemon with Secondary Ability</t>
  </si>
  <si>
    <t>Pokemon with Hidden Ability</t>
  </si>
  <si>
    <t>Water, Ground, Rock, Ghost, Dark</t>
  </si>
  <si>
    <t>Type Advantaged</t>
  </si>
  <si>
    <t>Type Disadvantaged</t>
  </si>
  <si>
    <t>Bug</t>
  </si>
  <si>
    <t>None</t>
  </si>
  <si>
    <t>Threatful Pokemon</t>
  </si>
  <si>
    <t>Reason</t>
  </si>
  <si>
    <t>It brings victory to those who owns it. It is said that it creates and shares the infinite energy to those it trust giving them immense power.</t>
  </si>
  <si>
    <t>Grass, Ice, Fighting, Poison</t>
  </si>
  <si>
    <t>Krookodile</t>
  </si>
  <si>
    <t>Out of every Pokemon, Sandile line is best suited for three main reasons - it's type as Ground / Dark, its Attack is quite high with a slightly reduced speed then Victini, and third and most important is that Sandile is available quite early after second badge. So players have enough time to level up to an overpowering level. Plus, it can learn 5 Types moves directly that includes moves like Earthquake,  Crunch, and Outrage as well as additional 3 Types through Egg Moves in the form of Counter, Fire Fang, and Thunder Fang, and Water, Steel, and Ghost moves through Move Tutor. Through TM it can learn moves like Giga Impact, Grass Knot, Dragon Tail, Stone Edge, Focus Blst, Aerial Ace, and Sludge Bomb to name a few.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</si>
</sst>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DDE2-FB0E-4361-A30D-60CDCAAD6E28}">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15EA-F835-496B-AD3A-0EAA914B2D16}">
  <dimension ref="A1:E2"/>
  <sheetViews>
    <sheetView workbookViewId="0">
      <selection sqref="A1:XFD1048576"/>
    </sheetView>
  </sheetViews>
  <sheetFormatPr defaultRowHeight="14.4" x14ac:dyDescent="0.3"/>
  <cols>
    <col min="1" max="1" width="10.109375" style="2" bestFit="1" customWidth="1"/>
    <col min="2" max="2" width="11" style="2" bestFit="1" customWidth="1"/>
    <col min="3" max="3" width="25.5546875" style="2" bestFit="1" customWidth="1"/>
    <col min="4" max="4" width="28.109375" style="2" bestFit="1" customWidth="1"/>
    <col min="5" max="5" width="25.21875" style="2" bestFit="1" customWidth="1"/>
    <col min="6" max="16384" width="8.88671875" style="2"/>
  </cols>
  <sheetData>
    <row r="1" spans="1:5" s="1" customFormat="1" x14ac:dyDescent="0.3">
      <c r="A1" s="1" t="s">
        <v>43</v>
      </c>
      <c r="B1" s="1" t="s">
        <v>28</v>
      </c>
      <c r="C1" s="1" t="s">
        <v>44</v>
      </c>
      <c r="D1" s="1" t="s">
        <v>45</v>
      </c>
      <c r="E1" s="1" t="s">
        <v>46</v>
      </c>
    </row>
    <row r="2" spans="1:5" x14ac:dyDescent="0.3">
      <c r="A2"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C7C3-B1D9-4971-A885-021336C2E27C}">
  <dimension ref="A1:Y1"/>
  <sheetViews>
    <sheetView topLeftCell="Q1" workbookViewId="0">
      <selection activeCell="Q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2AFB-8BC6-41AC-A170-70E0921B46BD}">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2F90-734E-4287-98A1-F6E4B4831F62}">
  <dimension ref="A1:Y1"/>
  <sheetViews>
    <sheetView topLeftCell="F1" workbookViewId="0">
      <selection activeCell="W1" sqref="W1"/>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915A8-E0E8-4650-BFBC-DD18A6610451}">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BC86-8AE0-446A-A10E-BBBB87262A0C}">
  <dimension ref="A1:Y1"/>
  <sheetViews>
    <sheetView topLeftCell="T1" workbookViewId="0">
      <selection activeCell="T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0B38-B097-4C26-8BCC-38441AA62419}">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FA26-5141-4D9B-87AA-B8450576EF88}">
  <dimension ref="A1:Y1"/>
  <sheetViews>
    <sheetView topLeftCell="H1" workbookViewId="0">
      <selection activeCell="H1" sqref="A1:XFD1048576"/>
    </sheetView>
  </sheetViews>
  <sheetFormatPr defaultColWidth="21.77734375"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21.777343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D0DB-48A3-437C-9C82-DE6AEB120435}">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5852-9D5E-4D71-868E-E1AE55332D99}">
  <dimension ref="A1:Y1"/>
  <sheetViews>
    <sheetView topLeftCell="J1" workbookViewId="0">
      <selection activeCell="Y2" sqref="Y2"/>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E0C92-178D-47EB-9F94-1942FB6DF193}">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A017B-E575-4D53-AC3B-59C13EB1D0BB}">
  <dimension ref="A1:Y2"/>
  <sheetViews>
    <sheetView topLeftCell="Y1" workbookViewId="0">
      <selection activeCell="A2" sqref="A2:Y2"/>
    </sheetView>
  </sheetViews>
  <sheetFormatPr defaultRowHeight="14.4" x14ac:dyDescent="0.3"/>
  <cols>
    <col min="1" max="1" width="9.33203125" style="2" bestFit="1" customWidth="1"/>
    <col min="2" max="2" width="11.6640625" style="2" bestFit="1" customWidth="1"/>
    <col min="3" max="3" width="12.88671875" style="2" bestFit="1" customWidth="1"/>
    <col min="4" max="4" width="8.109375" style="2" bestFit="1" customWidth="1"/>
    <col min="5" max="5" width="21.44140625" style="2" bestFit="1" customWidth="1"/>
    <col min="6" max="6" width="11.441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6" width="10.109375" style="2" bestFit="1" customWidth="1"/>
    <col min="17" max="17" width="8.44140625" style="2" bestFit="1" customWidth="1"/>
    <col min="18" max="18" width="13.109375" style="2" bestFit="1" customWidth="1"/>
    <col min="19" max="19" width="28.44140625" style="2" bestFit="1" customWidth="1"/>
    <col min="20" max="20" width="22.88671875" style="2" bestFit="1" customWidth="1"/>
    <col min="21" max="21" width="15.6640625" style="2" bestFit="1" customWidth="1"/>
    <col min="22" max="22" width="18.21875" style="2" bestFit="1" customWidth="1"/>
    <col min="23" max="23" width="17.109375" style="2" bestFit="1" customWidth="1"/>
    <col min="24" max="24" width="111.109375" style="2" customWidth="1"/>
    <col min="25" max="25" width="108.44140625"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row r="2" spans="1:25" ht="86.4" x14ac:dyDescent="0.3">
      <c r="A2" s="2" t="s">
        <v>30</v>
      </c>
      <c r="B2" s="2" t="s">
        <v>31</v>
      </c>
      <c r="C2" s="2" t="s">
        <v>36</v>
      </c>
      <c r="D2" s="2" t="s">
        <v>38</v>
      </c>
      <c r="E2" s="2">
        <v>5</v>
      </c>
      <c r="F2" s="2" t="s">
        <v>40</v>
      </c>
      <c r="G2" s="2">
        <v>0</v>
      </c>
      <c r="H2" s="2">
        <v>0</v>
      </c>
      <c r="I2" s="2">
        <v>100</v>
      </c>
      <c r="J2" s="2">
        <v>100</v>
      </c>
      <c r="K2" s="2">
        <v>100</v>
      </c>
      <c r="L2" s="2">
        <v>100</v>
      </c>
      <c r="M2" s="2">
        <v>100</v>
      </c>
      <c r="N2" s="2">
        <v>100</v>
      </c>
      <c r="O2" s="2">
        <f>I2+J2+K2+L2+M2+N2</f>
        <v>600</v>
      </c>
      <c r="P2" s="2" t="s">
        <v>41</v>
      </c>
      <c r="Q2" s="2" t="s">
        <v>42</v>
      </c>
      <c r="R2" s="2" t="s">
        <v>42</v>
      </c>
      <c r="S2" s="2" t="s">
        <v>47</v>
      </c>
      <c r="T2" s="2" t="s">
        <v>55</v>
      </c>
      <c r="U2" s="2" t="s">
        <v>50</v>
      </c>
      <c r="V2" s="2" t="s">
        <v>51</v>
      </c>
      <c r="W2" s="2" t="s">
        <v>56</v>
      </c>
      <c r="X2" s="3" t="s">
        <v>57</v>
      </c>
      <c r="Y2" s="2" t="s">
        <v>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017D-91C2-4243-9330-620FA894D3CD}">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E52B-6E6C-4E3C-A5CC-334B7100E89D}">
  <dimension ref="A1:Y1"/>
  <sheetViews>
    <sheetView topLeftCell="H1" workbookViewId="0">
      <selection activeCell="H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E6B8-316C-46F2-8ABA-2F1B4FA83DB6}">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B210-D5D3-44D6-A158-E9C9383F549A}">
  <dimension ref="A1:Y1"/>
  <sheetViews>
    <sheetView topLeftCell="T1" workbookViewId="0">
      <selection activeCell="T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03688-C8DD-4E0C-A09A-B9A7268ED8BD}">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669A-F404-4D3D-9EF8-B64495524154}">
  <dimension ref="A1:Y4"/>
  <sheetViews>
    <sheetView tabSelected="1" workbookViewId="0">
      <selection activeCell="C4" sqref="C4"/>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row r="2" spans="1:25" x14ac:dyDescent="0.3">
      <c r="A2" s="2" t="s">
        <v>32</v>
      </c>
      <c r="B2" s="2" t="s">
        <v>35</v>
      </c>
    </row>
    <row r="3" spans="1:25" x14ac:dyDescent="0.3">
      <c r="A3" s="2" t="s">
        <v>33</v>
      </c>
      <c r="B3" s="2" t="s">
        <v>35</v>
      </c>
    </row>
    <row r="4" spans="1:25" x14ac:dyDescent="0.3">
      <c r="A4" s="2" t="s">
        <v>34</v>
      </c>
      <c r="B4" s="2" t="s">
        <v>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4DF9-0924-43C1-B674-7AF0841A4391}">
  <dimension ref="A1:L1"/>
  <sheetViews>
    <sheetView workbookViewId="0">
      <selection activeCell="B1" sqref="B1"/>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4ED8-740A-4FBF-AB63-5D33B9FEC11F}">
  <dimension ref="A1:Y1"/>
  <sheetViews>
    <sheetView topLeftCell="H1" workbookViewId="0">
      <selection activeCell="H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B14F7-C980-4EEE-8DFF-2D48AB1D60D3}">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1BC9-E604-4939-B926-1500D998C6EE}">
  <dimension ref="A1:Y1"/>
  <sheetViews>
    <sheetView topLeftCell="Q1" workbookViewId="0">
      <selection activeCell="Q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5682-8CC9-4401-A0C6-52C048C9319A}">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C223-266D-47F8-A3C7-F86974CA7C75}">
  <dimension ref="A1:Y1"/>
  <sheetViews>
    <sheetView topLeftCell="T1" workbookViewId="0">
      <selection activeCell="T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349A-AD2C-42AC-89EB-10BCAAAC921F}">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8C21-7CD0-4FED-AAA8-DC828361789C}">
  <dimension ref="A1:Y1"/>
  <sheetViews>
    <sheetView topLeftCell="H1" workbookViewId="0">
      <selection activeCell="H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BE6D-C9A5-4910-B94A-142DBA3EE541}">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FE03A-2661-431C-A233-C51E25687F6D}">
  <dimension ref="A1:Y2"/>
  <sheetViews>
    <sheetView topLeftCell="U1" workbookViewId="0">
      <selection activeCell="V2" sqref="V2"/>
    </sheetView>
  </sheetViews>
  <sheetFormatPr defaultRowHeight="14.4" x14ac:dyDescent="0.3"/>
  <cols>
    <col min="1" max="1" width="9.33203125" style="2" bestFit="1" customWidth="1"/>
    <col min="2" max="2" width="11.6640625" style="2" bestFit="1" customWidth="1"/>
    <col min="3" max="3" width="12.88671875" style="2" bestFit="1" customWidth="1"/>
    <col min="4" max="4" width="8.109375" style="2" bestFit="1" customWidth="1"/>
    <col min="5" max="5" width="21.44140625" style="2" bestFit="1" customWidth="1"/>
    <col min="6" max="6" width="11.441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6" width="10.109375" style="2" bestFit="1" customWidth="1"/>
    <col min="17" max="17" width="8.44140625" style="2" bestFit="1" customWidth="1"/>
    <col min="18" max="18" width="13.109375" style="2" bestFit="1" customWidth="1"/>
    <col min="19" max="19" width="28.44140625" style="2" bestFit="1" customWidth="1"/>
    <col min="20" max="20" width="22.88671875" style="2" bestFit="1" customWidth="1"/>
    <col min="21" max="21" width="15.6640625" style="2" bestFit="1" customWidth="1"/>
    <col min="22" max="22" width="18.21875" style="2" bestFit="1" customWidth="1"/>
    <col min="23" max="23" width="17.109375" style="2" bestFit="1" customWidth="1"/>
    <col min="24" max="25" width="111.109375" style="2"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row r="2" spans="1:25" ht="86.4" x14ac:dyDescent="0.3">
      <c r="A2" s="2" t="s">
        <v>30</v>
      </c>
      <c r="B2" s="2" t="s">
        <v>31</v>
      </c>
      <c r="C2" s="2" t="s">
        <v>36</v>
      </c>
      <c r="D2" s="2" t="s">
        <v>38</v>
      </c>
      <c r="E2" s="2">
        <v>5</v>
      </c>
      <c r="F2" s="2" t="s">
        <v>40</v>
      </c>
      <c r="G2" s="2">
        <v>0</v>
      </c>
      <c r="H2" s="2">
        <v>0</v>
      </c>
      <c r="I2" s="2">
        <v>100</v>
      </c>
      <c r="J2" s="2">
        <v>100</v>
      </c>
      <c r="K2" s="2">
        <v>100</v>
      </c>
      <c r="L2" s="2">
        <v>100</v>
      </c>
      <c r="M2" s="2">
        <v>100</v>
      </c>
      <c r="N2" s="2">
        <v>100</v>
      </c>
      <c r="O2" s="2">
        <f>I2+J2+K2+L2+M2+N2</f>
        <v>600</v>
      </c>
      <c r="P2" s="2" t="s">
        <v>41</v>
      </c>
      <c r="Q2" s="2" t="s">
        <v>42</v>
      </c>
      <c r="R2" s="2" t="s">
        <v>42</v>
      </c>
      <c r="S2" s="2" t="s">
        <v>47</v>
      </c>
      <c r="T2" s="2" t="s">
        <v>55</v>
      </c>
      <c r="U2" s="2" t="s">
        <v>50</v>
      </c>
      <c r="V2" s="2" t="s">
        <v>51</v>
      </c>
      <c r="W2" s="2" t="s">
        <v>56</v>
      </c>
      <c r="X2" s="3" t="s">
        <v>57</v>
      </c>
      <c r="Y2" s="2" t="s">
        <v>54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EEFD-BA79-430D-B86C-A93FBE9830FC}">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3379-47DC-4F5B-9711-0FFB7ADD4B1A}">
  <dimension ref="A1:Y1"/>
  <sheetViews>
    <sheetView topLeftCell="Q1" workbookViewId="0">
      <selection activeCell="Q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8145-04EE-4FE3-9C42-0C0EA9C1F279}">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CE06-D7D7-495F-A578-050CA5C9D601}">
  <dimension ref="A1:Y1"/>
  <sheetViews>
    <sheetView topLeftCell="Q1" workbookViewId="0">
      <selection activeCell="Q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384D-A1F6-4699-A48A-1BD5FE4771D5}">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41278-083B-4A7C-957D-1B6641BC54C7}">
  <dimension ref="A1:Y1"/>
  <sheetViews>
    <sheetView topLeftCell="Q1" workbookViewId="0">
      <selection activeCell="Q1" sqref="A1:XFD1048576"/>
    </sheetView>
  </sheetViews>
  <sheetFormatPr defaultRowHeight="14.4" x14ac:dyDescent="0.3"/>
  <cols>
    <col min="1" max="1" width="9.33203125" style="2" bestFit="1" customWidth="1"/>
    <col min="2" max="2" width="6.77734375" style="2" bestFit="1" customWidth="1"/>
    <col min="3" max="3" width="12.88671875" style="2" bestFit="1" customWidth="1"/>
    <col min="4" max="4" width="8.109375" style="2" bestFit="1" customWidth="1"/>
    <col min="5" max="5" width="21.44140625" style="2" bestFit="1" customWidth="1"/>
    <col min="6" max="6" width="8.6640625" style="2" bestFit="1" customWidth="1"/>
    <col min="7" max="7" width="12.109375" style="2" bestFit="1" customWidth="1"/>
    <col min="8" max="8" width="21.6640625" style="2" bestFit="1" customWidth="1"/>
    <col min="9" max="9" width="4.109375" style="2" bestFit="1" customWidth="1"/>
    <col min="10" max="10" width="7.109375" style="2" bestFit="1" customWidth="1"/>
    <col min="11" max="11" width="8.33203125" style="2" bestFit="1" customWidth="1"/>
    <col min="12" max="12" width="10.109375" style="2" bestFit="1" customWidth="1"/>
    <col min="13" max="13" width="7.44140625" style="2" bestFit="1" customWidth="1"/>
    <col min="14" max="14" width="6.88671875" style="2" bestFit="1" customWidth="1"/>
    <col min="15" max="15" width="5.77734375" style="2" bestFit="1" customWidth="1"/>
    <col min="16" max="17" width="8.44140625" style="2" bestFit="1" customWidth="1"/>
    <col min="18" max="18" width="13.109375" style="2" bestFit="1" customWidth="1"/>
    <col min="19" max="19" width="14.77734375" style="2" bestFit="1" customWidth="1"/>
    <col min="20" max="20" width="12.88671875" style="2" bestFit="1" customWidth="1"/>
    <col min="21" max="21" width="15.6640625" style="2" bestFit="1" customWidth="1"/>
    <col min="22" max="22" width="18.21875" style="2" bestFit="1" customWidth="1"/>
    <col min="23" max="23" width="17.109375" style="2" bestFit="1" customWidth="1"/>
    <col min="24" max="24" width="7.6640625" style="2" bestFit="1" customWidth="1"/>
    <col min="25" max="25" width="18" style="2" bestFit="1" customWidth="1"/>
    <col min="26" max="16384" width="8.88671875" style="2"/>
  </cols>
  <sheetData>
    <row r="1" spans="1:25" s="1" customFormat="1" x14ac:dyDescent="0.3">
      <c r="A1" s="1" t="s">
        <v>0</v>
      </c>
      <c r="B1" s="1" t="s">
        <v>16</v>
      </c>
      <c r="C1" s="1" t="s">
        <v>13</v>
      </c>
      <c r="D1" s="1" t="s">
        <v>37</v>
      </c>
      <c r="E1" s="1" t="s">
        <v>18</v>
      </c>
      <c r="F1" s="1" t="s">
        <v>1</v>
      </c>
      <c r="G1" s="1" t="s">
        <v>2</v>
      </c>
      <c r="H1" s="1" t="s">
        <v>29</v>
      </c>
      <c r="I1" s="1" t="s">
        <v>3</v>
      </c>
      <c r="J1" s="1" t="s">
        <v>5</v>
      </c>
      <c r="K1" s="1" t="s">
        <v>6</v>
      </c>
      <c r="L1" s="1" t="s">
        <v>7</v>
      </c>
      <c r="M1" s="1" t="s">
        <v>8</v>
      </c>
      <c r="N1" s="1" t="s">
        <v>4</v>
      </c>
      <c r="O1" s="1" t="s">
        <v>9</v>
      </c>
      <c r="P1" s="1" t="s">
        <v>10</v>
      </c>
      <c r="Q1" s="1" t="s">
        <v>11</v>
      </c>
      <c r="R1" s="1" t="s">
        <v>12</v>
      </c>
      <c r="S1" s="1" t="s">
        <v>14</v>
      </c>
      <c r="T1" s="1" t="s">
        <v>15</v>
      </c>
      <c r="U1" s="1" t="s">
        <v>48</v>
      </c>
      <c r="V1" s="1" t="s">
        <v>49</v>
      </c>
      <c r="W1" s="1" t="s">
        <v>52</v>
      </c>
      <c r="X1" s="1" t="s">
        <v>53</v>
      </c>
      <c r="Y1" s="1" t="s">
        <v>39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638E8-263C-406F-850E-B4A802C86B84}">
  <dimension ref="A1:L1"/>
  <sheetViews>
    <sheetView workbookViewId="0">
      <selection sqref="A1:XFD1048576"/>
    </sheetView>
  </sheetViews>
  <sheetFormatPr defaultRowHeight="14.4" x14ac:dyDescent="0.3"/>
  <cols>
    <col min="1" max="1" width="6.88671875" style="2" bestFit="1" customWidth="1"/>
    <col min="2" max="2" width="5.44140625" style="2" bestFit="1" customWidth="1"/>
    <col min="3" max="3" width="9" style="2" bestFit="1" customWidth="1"/>
    <col min="4" max="4" width="21.44140625" style="2" bestFit="1" customWidth="1"/>
    <col min="5" max="5" width="6.77734375" style="2" bestFit="1" customWidth="1"/>
    <col min="6" max="6" width="9.33203125" style="2" bestFit="1" customWidth="1"/>
    <col min="7" max="7" width="3.88671875" style="2" bestFit="1" customWidth="1"/>
    <col min="8" max="8" width="13.88671875" style="2" bestFit="1" customWidth="1"/>
    <col min="9" max="9" width="32.88671875" style="2" bestFit="1" customWidth="1"/>
    <col min="10" max="10" width="31.77734375" style="2" bestFit="1" customWidth="1"/>
    <col min="11" max="11" width="29.44140625" style="2" customWidth="1"/>
    <col min="12" max="12" width="11" style="2" bestFit="1" customWidth="1"/>
    <col min="13" max="16384" width="8.88671875" style="2"/>
  </cols>
  <sheetData>
    <row r="1" spans="1:12" s="1" customFormat="1" x14ac:dyDescent="0.3">
      <c r="A1" s="1" t="s">
        <v>17</v>
      </c>
      <c r="B1" s="1" t="s">
        <v>19</v>
      </c>
      <c r="C1" s="1" t="s">
        <v>20</v>
      </c>
      <c r="D1" s="1" t="s">
        <v>18</v>
      </c>
      <c r="E1" s="1" t="s">
        <v>21</v>
      </c>
      <c r="F1" s="1" t="s">
        <v>22</v>
      </c>
      <c r="G1" s="1" t="s">
        <v>23</v>
      </c>
      <c r="H1" s="1" t="s">
        <v>27</v>
      </c>
      <c r="I1" s="1" t="s">
        <v>25</v>
      </c>
      <c r="J1" s="1" t="s">
        <v>26</v>
      </c>
      <c r="K1" s="1" t="s">
        <v>24</v>
      </c>
      <c r="L1"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Type Introduction</vt:lpstr>
      <vt:lpstr>Ability Description</vt:lpstr>
      <vt:lpstr>Bug Pokemon</vt:lpstr>
      <vt:lpstr>Bug Moves</vt:lpstr>
      <vt:lpstr>Dark Pokemon</vt:lpstr>
      <vt:lpstr>Dark Moves</vt:lpstr>
      <vt:lpstr>Dragon Pokemon</vt:lpstr>
      <vt:lpstr>Dragon Moves</vt:lpstr>
      <vt:lpstr>Electric Pokemon</vt:lpstr>
      <vt:lpstr>Electric Moves</vt:lpstr>
      <vt:lpstr>Fighting Pokemon</vt:lpstr>
      <vt:lpstr>Fighting Moves</vt:lpstr>
      <vt:lpstr>Fire Pokemon</vt:lpstr>
      <vt:lpstr>Fire Moves</vt:lpstr>
      <vt:lpstr>Flying Pokemon</vt:lpstr>
      <vt:lpstr>Flying Moves</vt:lpstr>
      <vt:lpstr>Ghost Pokemon</vt:lpstr>
      <vt:lpstr>Ghost Moves</vt:lpstr>
      <vt:lpstr>Grass Pokemon</vt:lpstr>
      <vt:lpstr>Grass Moves</vt:lpstr>
      <vt:lpstr>Ground Pokemon</vt:lpstr>
      <vt:lpstr>Ground Moves</vt:lpstr>
      <vt:lpstr>Ice Pokemon</vt:lpstr>
      <vt:lpstr>Ice Moves</vt:lpstr>
      <vt:lpstr>Normal Pokemon</vt:lpstr>
      <vt:lpstr>Normal Moves</vt:lpstr>
      <vt:lpstr>Poison Pokemon</vt:lpstr>
      <vt:lpstr>Poison Moves</vt:lpstr>
      <vt:lpstr>Psychic Pokemon</vt:lpstr>
      <vt:lpstr>Psychic Moves</vt:lpstr>
      <vt:lpstr>Rock Pokemon</vt:lpstr>
      <vt:lpstr>Rock Moves</vt:lpstr>
      <vt:lpstr>Steel Pokemon</vt:lpstr>
      <vt:lpstr>Steel Type</vt:lpstr>
      <vt:lpstr>Water Pokemon</vt:lpstr>
      <vt:lpstr>Water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Steelras Gengacross</dc:creator>
  <cp:lastModifiedBy>Steelras Gengacross</cp:lastModifiedBy>
  <dcterms:created xsi:type="dcterms:W3CDTF">2026-09-01T12:02:03Z</dcterms:created>
  <dcterms:modified xsi:type="dcterms:W3CDTF">2026-09-01T16:39:51Z</dcterms:modified>
</cp:coreProperties>
</file>