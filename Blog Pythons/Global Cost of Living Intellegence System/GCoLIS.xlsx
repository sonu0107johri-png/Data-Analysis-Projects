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Administrator\Desktop\Blog Pythons\Global Cost of Living Intellegence System\"/>
    </mc:Choice>
  </mc:AlternateContent>
  <xr:revisionPtr revIDLastSave="0" documentId="13_ncr:1_{44D671FC-286F-408C-8901-B00C52E4F598}" xr6:coauthVersionLast="47" xr6:coauthVersionMax="47" xr10:uidLastSave="{00000000-0000-0000-0000-000000000000}"/>
  <bookViews>
    <workbookView xWindow="-108" yWindow="-108" windowWidth="23256" windowHeight="12456" activeTab="1" xr2:uid="{780D78FB-B796-44C3-AE5B-F463362172EA}"/>
  </bookViews>
  <sheets>
    <sheet name="Nation Wise Summary" sheetId="2" r:id="rId1"/>
    <sheet name="Nation Non-Social Pop Demograph" sheetId="10" r:id="rId2"/>
    <sheet name="Nation-Wide Education Seg" sheetId="9" r:id="rId3"/>
    <sheet name="City Wise Data" sheetId="1" r:id="rId4"/>
    <sheet name="Nation Topography" sheetId="3" r:id="rId5"/>
    <sheet name="City Topography" sheetId="4" r:id="rId6"/>
    <sheet name="Nation-wise source of income" sheetId="5" r:id="rId7"/>
    <sheet name="Nation Wise Cost of Living Data" sheetId="6" r:id="rId8"/>
    <sheet name="City Wise Cost of Living Data" sheetId="7" r:id="rId9"/>
    <sheet name="Nation wise safety index cal" sheetId="8" r:id="rId10"/>
  </sheets>
  <definedNames>
    <definedName name="_xlnm._FilterDatabase" localSheetId="3" hidden="1">'City Wise Data'!$A$1:$E$370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J6" i="10" l="1"/>
  <c r="G6" i="10"/>
  <c r="F6" i="10"/>
  <c r="E6" i="10"/>
  <c r="C6" i="10"/>
  <c r="Q5" i="9"/>
  <c r="P5" i="9"/>
  <c r="M3" i="9"/>
  <c r="M4" i="9"/>
  <c r="M5" i="9"/>
  <c r="M6" i="9"/>
  <c r="M7" i="9"/>
  <c r="M8" i="9"/>
  <c r="M9" i="9"/>
  <c r="M10" i="9"/>
  <c r="M11" i="9"/>
  <c r="M12" i="9"/>
  <c r="M13" i="9"/>
  <c r="M14" i="9"/>
  <c r="M15" i="9"/>
  <c r="M16" i="9"/>
  <c r="M17" i="9"/>
  <c r="M18" i="9"/>
  <c r="M19" i="9"/>
  <c r="M20" i="9"/>
  <c r="M21" i="9"/>
  <c r="M22" i="9"/>
  <c r="M23" i="9"/>
  <c r="M24" i="9"/>
  <c r="M25" i="9"/>
  <c r="M26" i="9"/>
  <c r="M27" i="9"/>
  <c r="M28" i="9"/>
  <c r="M29" i="9"/>
  <c r="M30" i="9"/>
  <c r="M31" i="9"/>
  <c r="M32" i="9"/>
  <c r="M33" i="9"/>
  <c r="M34" i="9"/>
  <c r="M35" i="9"/>
  <c r="M36" i="9"/>
  <c r="M37" i="9"/>
  <c r="M38" i="9"/>
  <c r="M39" i="9"/>
  <c r="M40" i="9"/>
  <c r="M41" i="9"/>
  <c r="M42" i="9"/>
  <c r="M43" i="9"/>
  <c r="M44" i="9"/>
  <c r="M45" i="9"/>
  <c r="M46" i="9"/>
  <c r="M47" i="9"/>
  <c r="M48" i="9"/>
  <c r="M49" i="9"/>
  <c r="M50" i="9"/>
  <c r="M51" i="9"/>
  <c r="M52" i="9"/>
  <c r="M53" i="9"/>
  <c r="M54" i="9"/>
  <c r="M55" i="9"/>
  <c r="M56" i="9"/>
  <c r="M57" i="9"/>
  <c r="M58" i="9"/>
  <c r="M59" i="9"/>
  <c r="M60" i="9"/>
  <c r="M61" i="9"/>
  <c r="M62" i="9"/>
  <c r="M63" i="9"/>
  <c r="M64" i="9"/>
  <c r="M65" i="9"/>
  <c r="M66" i="9"/>
  <c r="M67" i="9"/>
  <c r="M68" i="9"/>
  <c r="M69" i="9"/>
  <c r="M70" i="9"/>
  <c r="M71" i="9"/>
  <c r="M72" i="9"/>
  <c r="M73" i="9"/>
  <c r="M74" i="9"/>
  <c r="M75" i="9"/>
  <c r="M76" i="9"/>
  <c r="M77" i="9"/>
  <c r="M78" i="9"/>
  <c r="M79" i="9"/>
  <c r="M80" i="9"/>
  <c r="M81" i="9"/>
  <c r="M82" i="9"/>
  <c r="M83" i="9"/>
  <c r="M84" i="9"/>
  <c r="M85" i="9"/>
  <c r="M86" i="9"/>
  <c r="M87" i="9"/>
  <c r="M88" i="9"/>
  <c r="M89" i="9"/>
  <c r="M90" i="9"/>
  <c r="M91" i="9"/>
  <c r="M92" i="9"/>
  <c r="M93" i="9"/>
  <c r="M94" i="9"/>
  <c r="M95" i="9"/>
  <c r="M96" i="9"/>
  <c r="M97" i="9"/>
  <c r="M98" i="9"/>
  <c r="M99" i="9"/>
  <c r="M100" i="9"/>
  <c r="M101" i="9"/>
  <c r="M102" i="9"/>
  <c r="M103" i="9"/>
  <c r="M104" i="9"/>
  <c r="M105" i="9"/>
  <c r="M106" i="9"/>
  <c r="M107" i="9"/>
  <c r="M108" i="9"/>
  <c r="M109" i="9"/>
  <c r="M110" i="9"/>
  <c r="M111" i="9"/>
  <c r="M112" i="9"/>
  <c r="M113" i="9"/>
  <c r="M114" i="9"/>
  <c r="M115" i="9"/>
  <c r="M116" i="9"/>
  <c r="M117" i="9"/>
  <c r="M118" i="9"/>
  <c r="M119" i="9"/>
  <c r="M120" i="9"/>
  <c r="M121" i="9"/>
  <c r="M122" i="9"/>
  <c r="M123" i="9"/>
  <c r="M124" i="9"/>
  <c r="M125" i="9"/>
  <c r="M126" i="9"/>
  <c r="M127" i="9"/>
  <c r="M128" i="9"/>
  <c r="M129" i="9"/>
  <c r="M130" i="9"/>
  <c r="M131" i="9"/>
  <c r="M132" i="9"/>
  <c r="M133" i="9"/>
  <c r="M134" i="9"/>
  <c r="M135" i="9"/>
  <c r="M136" i="9"/>
  <c r="M137" i="9"/>
  <c r="M138" i="9"/>
  <c r="M139" i="9"/>
  <c r="M140" i="9"/>
  <c r="M141" i="9"/>
  <c r="M142" i="9"/>
  <c r="M143" i="9"/>
  <c r="M144" i="9"/>
  <c r="M145" i="9"/>
  <c r="M146" i="9"/>
  <c r="M147" i="9"/>
  <c r="M148" i="9"/>
  <c r="M149" i="9"/>
  <c r="M150" i="9"/>
  <c r="M151" i="9"/>
  <c r="M152" i="9"/>
  <c r="M153" i="9"/>
  <c r="M154" i="9"/>
  <c r="M155" i="9"/>
  <c r="M156" i="9"/>
  <c r="M157" i="9"/>
  <c r="M158" i="9"/>
  <c r="M159" i="9"/>
  <c r="M160" i="9"/>
  <c r="M161" i="9"/>
  <c r="M162" i="9"/>
  <c r="M163" i="9"/>
  <c r="M164" i="9"/>
  <c r="M165" i="9"/>
  <c r="M166" i="9"/>
  <c r="M167" i="9"/>
  <c r="M168" i="9"/>
  <c r="M169" i="9"/>
  <c r="M170" i="9"/>
  <c r="M171" i="9"/>
  <c r="M172" i="9"/>
  <c r="M173" i="9"/>
  <c r="M174" i="9"/>
  <c r="M175" i="9"/>
  <c r="M176" i="9"/>
  <c r="M177" i="9"/>
  <c r="M178" i="9"/>
  <c r="M179" i="9"/>
  <c r="M180" i="9"/>
  <c r="M181" i="9"/>
  <c r="M182" i="9"/>
  <c r="M183" i="9"/>
  <c r="M184" i="9"/>
  <c r="M185" i="9"/>
  <c r="M186" i="9"/>
  <c r="M187" i="9"/>
  <c r="M188" i="9"/>
  <c r="M189" i="9"/>
  <c r="M190" i="9"/>
  <c r="M191" i="9"/>
  <c r="M192" i="9"/>
  <c r="M193" i="9"/>
  <c r="M194" i="9"/>
  <c r="M195" i="9"/>
  <c r="M196" i="9"/>
  <c r="M197" i="9"/>
  <c r="L3" i="9"/>
  <c r="L4" i="9"/>
  <c r="L5" i="9"/>
  <c r="L6" i="9"/>
  <c r="L7" i="9"/>
  <c r="L8" i="9"/>
  <c r="L9" i="9"/>
  <c r="L10" i="9"/>
  <c r="L11" i="9"/>
  <c r="L12" i="9"/>
  <c r="L13" i="9"/>
  <c r="L14" i="9"/>
  <c r="L15" i="9"/>
  <c r="L16" i="9"/>
  <c r="L17" i="9"/>
  <c r="L18" i="9"/>
  <c r="L19" i="9"/>
  <c r="L20" i="9"/>
  <c r="L21" i="9"/>
  <c r="L22" i="9"/>
  <c r="L23" i="9"/>
  <c r="L24" i="9"/>
  <c r="L25" i="9"/>
  <c r="L26" i="9"/>
  <c r="L27" i="9"/>
  <c r="L28" i="9"/>
  <c r="L29" i="9"/>
  <c r="L30" i="9"/>
  <c r="L31" i="9"/>
  <c r="L32" i="9"/>
  <c r="L33" i="9"/>
  <c r="L34" i="9"/>
  <c r="L35" i="9"/>
  <c r="L36" i="9"/>
  <c r="L37" i="9"/>
  <c r="L38" i="9"/>
  <c r="L39" i="9"/>
  <c r="L40" i="9"/>
  <c r="L41" i="9"/>
  <c r="L42" i="9"/>
  <c r="L43" i="9"/>
  <c r="L44" i="9"/>
  <c r="L45" i="9"/>
  <c r="L46" i="9"/>
  <c r="L47" i="9"/>
  <c r="L48" i="9"/>
  <c r="L49" i="9"/>
  <c r="L50" i="9"/>
  <c r="L51" i="9"/>
  <c r="L52" i="9"/>
  <c r="L53" i="9"/>
  <c r="L54" i="9"/>
  <c r="L55" i="9"/>
  <c r="L56" i="9"/>
  <c r="L57" i="9"/>
  <c r="L58" i="9"/>
  <c r="L59" i="9"/>
  <c r="L60" i="9"/>
  <c r="L61" i="9"/>
  <c r="L62" i="9"/>
  <c r="L63" i="9"/>
  <c r="L64" i="9"/>
  <c r="L65" i="9"/>
  <c r="L66" i="9"/>
  <c r="L67" i="9"/>
  <c r="L68" i="9"/>
  <c r="L69" i="9"/>
  <c r="L70" i="9"/>
  <c r="L71" i="9"/>
  <c r="L72" i="9"/>
  <c r="L73" i="9"/>
  <c r="L74" i="9"/>
  <c r="L75" i="9"/>
  <c r="L76" i="9"/>
  <c r="L77" i="9"/>
  <c r="L78" i="9"/>
  <c r="L79" i="9"/>
  <c r="L80" i="9"/>
  <c r="L81" i="9"/>
  <c r="L82" i="9"/>
  <c r="L83" i="9"/>
  <c r="L84" i="9"/>
  <c r="L85" i="9"/>
  <c r="L86" i="9"/>
  <c r="L87" i="9"/>
  <c r="L88" i="9"/>
  <c r="L89" i="9"/>
  <c r="L90" i="9"/>
  <c r="L91" i="9"/>
  <c r="L92" i="9"/>
  <c r="L93" i="9"/>
  <c r="L94" i="9"/>
  <c r="L95" i="9"/>
  <c r="L96" i="9"/>
  <c r="L97" i="9"/>
  <c r="L98" i="9"/>
  <c r="L99" i="9"/>
  <c r="L100" i="9"/>
  <c r="L101" i="9"/>
  <c r="L102" i="9"/>
  <c r="L103" i="9"/>
  <c r="L104" i="9"/>
  <c r="L105" i="9"/>
  <c r="L106" i="9"/>
  <c r="L107" i="9"/>
  <c r="L108" i="9"/>
  <c r="L109" i="9"/>
  <c r="L110" i="9"/>
  <c r="L111" i="9"/>
  <c r="L112" i="9"/>
  <c r="L113" i="9"/>
  <c r="L114" i="9"/>
  <c r="L115" i="9"/>
  <c r="L116" i="9"/>
  <c r="L117" i="9"/>
  <c r="L118" i="9"/>
  <c r="L119" i="9"/>
  <c r="L120" i="9"/>
  <c r="L121" i="9"/>
  <c r="L122" i="9"/>
  <c r="L123" i="9"/>
  <c r="L124" i="9"/>
  <c r="L125" i="9"/>
  <c r="L126" i="9"/>
  <c r="L127" i="9"/>
  <c r="L128" i="9"/>
  <c r="L129" i="9"/>
  <c r="L130" i="9"/>
  <c r="L131" i="9"/>
  <c r="L132" i="9"/>
  <c r="L133" i="9"/>
  <c r="L134" i="9"/>
  <c r="L135" i="9"/>
  <c r="L136" i="9"/>
  <c r="L137" i="9"/>
  <c r="L138" i="9"/>
  <c r="L139" i="9"/>
  <c r="L140" i="9"/>
  <c r="L141" i="9"/>
  <c r="L142" i="9"/>
  <c r="L143" i="9"/>
  <c r="L144" i="9"/>
  <c r="L145" i="9"/>
  <c r="L146" i="9"/>
  <c r="L147" i="9"/>
  <c r="L148" i="9"/>
  <c r="L149" i="9"/>
  <c r="L150" i="9"/>
  <c r="L151" i="9"/>
  <c r="L152" i="9"/>
  <c r="L153" i="9"/>
  <c r="L154" i="9"/>
  <c r="L155" i="9"/>
  <c r="L156" i="9"/>
  <c r="L157" i="9"/>
  <c r="L158" i="9"/>
  <c r="L159" i="9"/>
  <c r="L160" i="9"/>
  <c r="L161" i="9"/>
  <c r="L162" i="9"/>
  <c r="L163" i="9"/>
  <c r="L164" i="9"/>
  <c r="L165" i="9"/>
  <c r="L166" i="9"/>
  <c r="L167" i="9"/>
  <c r="L168" i="9"/>
  <c r="L169" i="9"/>
  <c r="L170" i="9"/>
  <c r="L171" i="9"/>
  <c r="L172" i="9"/>
  <c r="L173" i="9"/>
  <c r="L174" i="9"/>
  <c r="L175" i="9"/>
  <c r="L176" i="9"/>
  <c r="L177" i="9"/>
  <c r="L178" i="9"/>
  <c r="L179" i="9"/>
  <c r="L180" i="9"/>
  <c r="L181" i="9"/>
  <c r="L182" i="9"/>
  <c r="L183" i="9"/>
  <c r="L184" i="9"/>
  <c r="L185" i="9"/>
  <c r="L186" i="9"/>
  <c r="L187" i="9"/>
  <c r="L188" i="9"/>
  <c r="L189" i="9"/>
  <c r="L190" i="9"/>
  <c r="L191" i="9"/>
  <c r="L192" i="9"/>
  <c r="L193" i="9"/>
  <c r="L194" i="9"/>
  <c r="L195" i="9"/>
  <c r="L196" i="9"/>
  <c r="L197" i="9"/>
  <c r="K5" i="9"/>
  <c r="Y5" i="10"/>
  <c r="V5" i="10"/>
  <c r="G5" i="10"/>
  <c r="Q4" i="9"/>
  <c r="P4" i="9"/>
  <c r="K4" i="9"/>
  <c r="Y3" i="10"/>
  <c r="Y4" i="10"/>
  <c r="Y2" i="10"/>
  <c r="V3" i="10"/>
  <c r="V4" i="10"/>
  <c r="V2" i="10"/>
  <c r="G4" i="10"/>
  <c r="C4" i="10"/>
  <c r="D4" i="10" s="1"/>
  <c r="G4" i="9"/>
  <c r="G5" i="9"/>
  <c r="G6" i="9"/>
  <c r="G7" i="9"/>
  <c r="G8" i="9"/>
  <c r="G9" i="9"/>
  <c r="G10" i="9"/>
  <c r="G11" i="9"/>
  <c r="G12" i="9"/>
  <c r="G13" i="9"/>
  <c r="G14" i="9"/>
  <c r="G15" i="9"/>
  <c r="G16" i="9"/>
  <c r="G17" i="9"/>
  <c r="G18" i="9"/>
  <c r="G19" i="9"/>
  <c r="G20" i="9"/>
  <c r="G21" i="9"/>
  <c r="G22" i="9"/>
  <c r="G23" i="9"/>
  <c r="G24" i="9"/>
  <c r="G25" i="9"/>
  <c r="G26" i="9"/>
  <c r="G27" i="9"/>
  <c r="G28" i="9"/>
  <c r="G29" i="9"/>
  <c r="G30" i="9"/>
  <c r="G31" i="9"/>
  <c r="G32" i="9"/>
  <c r="G33" i="9"/>
  <c r="G34" i="9"/>
  <c r="G35" i="9"/>
  <c r="G36" i="9"/>
  <c r="G37" i="9"/>
  <c r="G38" i="9"/>
  <c r="G39" i="9"/>
  <c r="G40" i="9"/>
  <c r="G41" i="9"/>
  <c r="G42" i="9"/>
  <c r="G43" i="9"/>
  <c r="G44" i="9"/>
  <c r="G45" i="9"/>
  <c r="G46" i="9"/>
  <c r="G47" i="9"/>
  <c r="G48" i="9"/>
  <c r="G49" i="9"/>
  <c r="G50" i="9"/>
  <c r="G51" i="9"/>
  <c r="G52" i="9"/>
  <c r="G53" i="9"/>
  <c r="G54" i="9"/>
  <c r="G55" i="9"/>
  <c r="G56" i="9"/>
  <c r="G57" i="9"/>
  <c r="G58" i="9"/>
  <c r="G59" i="9"/>
  <c r="G60" i="9"/>
  <c r="G61" i="9"/>
  <c r="G62" i="9"/>
  <c r="G63" i="9"/>
  <c r="G64" i="9"/>
  <c r="G65" i="9"/>
  <c r="G66" i="9"/>
  <c r="G67" i="9"/>
  <c r="G68" i="9"/>
  <c r="G69" i="9"/>
  <c r="G70" i="9"/>
  <c r="G71" i="9"/>
  <c r="G72" i="9"/>
  <c r="G73" i="9"/>
  <c r="G74" i="9"/>
  <c r="G75" i="9"/>
  <c r="G76" i="9"/>
  <c r="G77" i="9"/>
  <c r="G78" i="9"/>
  <c r="G79" i="9"/>
  <c r="G80" i="9"/>
  <c r="G81" i="9"/>
  <c r="G82" i="9"/>
  <c r="G83" i="9"/>
  <c r="G84" i="9"/>
  <c r="G85" i="9"/>
  <c r="G86" i="9"/>
  <c r="G87" i="9"/>
  <c r="G88" i="9"/>
  <c r="G89" i="9"/>
  <c r="G90" i="9"/>
  <c r="G91" i="9"/>
  <c r="G92" i="9"/>
  <c r="G93" i="9"/>
  <c r="G94" i="9"/>
  <c r="G95" i="9"/>
  <c r="G96" i="9"/>
  <c r="G97" i="9"/>
  <c r="G98" i="9"/>
  <c r="G99" i="9"/>
  <c r="G100" i="9"/>
  <c r="G101" i="9"/>
  <c r="G102" i="9"/>
  <c r="G103" i="9"/>
  <c r="G104" i="9"/>
  <c r="G105" i="9"/>
  <c r="G106" i="9"/>
  <c r="G107" i="9"/>
  <c r="G108" i="9"/>
  <c r="G109" i="9"/>
  <c r="G110" i="9"/>
  <c r="G111" i="9"/>
  <c r="G112" i="9"/>
  <c r="G113" i="9"/>
  <c r="G114" i="9"/>
  <c r="G115" i="9"/>
  <c r="G116" i="9"/>
  <c r="G117" i="9"/>
  <c r="G118" i="9"/>
  <c r="G119" i="9"/>
  <c r="G120" i="9"/>
  <c r="G121" i="9"/>
  <c r="G122" i="9"/>
  <c r="G123" i="9"/>
  <c r="G124" i="9"/>
  <c r="G125" i="9"/>
  <c r="G126" i="9"/>
  <c r="G127" i="9"/>
  <c r="G128" i="9"/>
  <c r="G129" i="9"/>
  <c r="G130" i="9"/>
  <c r="G131" i="9"/>
  <c r="G132" i="9"/>
  <c r="G133" i="9"/>
  <c r="G134" i="9"/>
  <c r="G135" i="9"/>
  <c r="G136" i="9"/>
  <c r="G137" i="9"/>
  <c r="G138" i="9"/>
  <c r="G139" i="9"/>
  <c r="G140" i="9"/>
  <c r="G141" i="9"/>
  <c r="G142" i="9"/>
  <c r="G143" i="9"/>
  <c r="G144" i="9"/>
  <c r="G145" i="9"/>
  <c r="G146" i="9"/>
  <c r="G147" i="9"/>
  <c r="G148" i="9"/>
  <c r="G149" i="9"/>
  <c r="G150" i="9"/>
  <c r="G151" i="9"/>
  <c r="G152" i="9"/>
  <c r="G153" i="9"/>
  <c r="G154" i="9"/>
  <c r="G155" i="9"/>
  <c r="G156" i="9"/>
  <c r="G157" i="9"/>
  <c r="G158" i="9"/>
  <c r="G159" i="9"/>
  <c r="G160" i="9"/>
  <c r="G161" i="9"/>
  <c r="G162" i="9"/>
  <c r="G163" i="9"/>
  <c r="G164" i="9"/>
  <c r="G165" i="9"/>
  <c r="G166" i="9"/>
  <c r="G167" i="9"/>
  <c r="G168" i="9"/>
  <c r="G169" i="9"/>
  <c r="G170" i="9"/>
  <c r="G171" i="9"/>
  <c r="G172" i="9"/>
  <c r="G173" i="9"/>
  <c r="G174" i="9"/>
  <c r="G175" i="9"/>
  <c r="G176" i="9"/>
  <c r="G177" i="9"/>
  <c r="G178" i="9"/>
  <c r="G179" i="9"/>
  <c r="G180" i="9"/>
  <c r="G181" i="9"/>
  <c r="G182" i="9"/>
  <c r="G183" i="9"/>
  <c r="G184" i="9"/>
  <c r="G185" i="9"/>
  <c r="G186" i="9"/>
  <c r="G187" i="9"/>
  <c r="G188" i="9"/>
  <c r="G189" i="9"/>
  <c r="G190" i="9"/>
  <c r="G191" i="9"/>
  <c r="G192" i="9"/>
  <c r="G193" i="9"/>
  <c r="G194" i="9"/>
  <c r="G195" i="9"/>
  <c r="G196" i="9"/>
  <c r="G197" i="9"/>
  <c r="K3" i="9"/>
  <c r="Q3" i="9"/>
  <c r="C3" i="9"/>
  <c r="E3" i="9" s="1"/>
  <c r="K3" i="10"/>
  <c r="J3" i="10"/>
  <c r="M3" i="10" s="1"/>
  <c r="E3" i="10"/>
  <c r="G3" i="10" s="1"/>
  <c r="C3" i="10"/>
  <c r="D3" i="10" s="1"/>
  <c r="Q2" i="9"/>
  <c r="P2" i="9"/>
  <c r="H2" i="9"/>
  <c r="M2" i="9" s="1"/>
  <c r="E4" i="9"/>
  <c r="E5" i="9"/>
  <c r="E6" i="9"/>
  <c r="E7" i="9"/>
  <c r="E8" i="9"/>
  <c r="E9" i="9"/>
  <c r="E10" i="9"/>
  <c r="E11" i="9"/>
  <c r="E12" i="9"/>
  <c r="E13" i="9"/>
  <c r="E14" i="9"/>
  <c r="E15" i="9"/>
  <c r="E16" i="9"/>
  <c r="E17" i="9"/>
  <c r="E18" i="9"/>
  <c r="E19" i="9"/>
  <c r="E20" i="9"/>
  <c r="E21" i="9"/>
  <c r="E22" i="9"/>
  <c r="E23" i="9"/>
  <c r="E24" i="9"/>
  <c r="E25" i="9"/>
  <c r="E26" i="9"/>
  <c r="E27" i="9"/>
  <c r="E28" i="9"/>
  <c r="E29" i="9"/>
  <c r="E30" i="9"/>
  <c r="E31" i="9"/>
  <c r="E32" i="9"/>
  <c r="E33" i="9"/>
  <c r="E34" i="9"/>
  <c r="E35" i="9"/>
  <c r="E36" i="9"/>
  <c r="E37" i="9"/>
  <c r="E38" i="9"/>
  <c r="E39" i="9"/>
  <c r="E40" i="9"/>
  <c r="E41" i="9"/>
  <c r="E42" i="9"/>
  <c r="E43" i="9"/>
  <c r="E44" i="9"/>
  <c r="E45" i="9"/>
  <c r="E46" i="9"/>
  <c r="E47" i="9"/>
  <c r="E48" i="9"/>
  <c r="E49" i="9"/>
  <c r="E50" i="9"/>
  <c r="E51" i="9"/>
  <c r="E52" i="9"/>
  <c r="E53" i="9"/>
  <c r="E54" i="9"/>
  <c r="E55" i="9"/>
  <c r="E56" i="9"/>
  <c r="E57" i="9"/>
  <c r="E58" i="9"/>
  <c r="E59" i="9"/>
  <c r="E60" i="9"/>
  <c r="E61" i="9"/>
  <c r="E62" i="9"/>
  <c r="E63" i="9"/>
  <c r="E64" i="9"/>
  <c r="E65" i="9"/>
  <c r="E66" i="9"/>
  <c r="E67" i="9"/>
  <c r="E68" i="9"/>
  <c r="E69" i="9"/>
  <c r="E70" i="9"/>
  <c r="E71" i="9"/>
  <c r="E72" i="9"/>
  <c r="E73" i="9"/>
  <c r="E74" i="9"/>
  <c r="E75" i="9"/>
  <c r="E76" i="9"/>
  <c r="E77" i="9"/>
  <c r="E78" i="9"/>
  <c r="E79" i="9"/>
  <c r="E80" i="9"/>
  <c r="E81" i="9"/>
  <c r="E82" i="9"/>
  <c r="E83" i="9"/>
  <c r="E84" i="9"/>
  <c r="E85" i="9"/>
  <c r="E86" i="9"/>
  <c r="E87" i="9"/>
  <c r="E88" i="9"/>
  <c r="E89" i="9"/>
  <c r="E90" i="9"/>
  <c r="E91" i="9"/>
  <c r="E92" i="9"/>
  <c r="E93" i="9"/>
  <c r="E94" i="9"/>
  <c r="E95" i="9"/>
  <c r="E96" i="9"/>
  <c r="E97" i="9"/>
  <c r="E98" i="9"/>
  <c r="E99" i="9"/>
  <c r="E100" i="9"/>
  <c r="E101" i="9"/>
  <c r="E102" i="9"/>
  <c r="E103" i="9"/>
  <c r="E104" i="9"/>
  <c r="E105" i="9"/>
  <c r="E106" i="9"/>
  <c r="E107" i="9"/>
  <c r="E108" i="9"/>
  <c r="E109" i="9"/>
  <c r="E110" i="9"/>
  <c r="E111" i="9"/>
  <c r="E112" i="9"/>
  <c r="E113" i="9"/>
  <c r="E114" i="9"/>
  <c r="E115" i="9"/>
  <c r="E116" i="9"/>
  <c r="E117" i="9"/>
  <c r="E118" i="9"/>
  <c r="E119" i="9"/>
  <c r="E120" i="9"/>
  <c r="E121" i="9"/>
  <c r="E122" i="9"/>
  <c r="E123" i="9"/>
  <c r="E124" i="9"/>
  <c r="E125" i="9"/>
  <c r="E126" i="9"/>
  <c r="E127" i="9"/>
  <c r="E128" i="9"/>
  <c r="E129" i="9"/>
  <c r="E130" i="9"/>
  <c r="E131" i="9"/>
  <c r="E132" i="9"/>
  <c r="E133" i="9"/>
  <c r="E134" i="9"/>
  <c r="E135" i="9"/>
  <c r="E136" i="9"/>
  <c r="E137" i="9"/>
  <c r="E138" i="9"/>
  <c r="E139" i="9"/>
  <c r="E140" i="9"/>
  <c r="E141" i="9"/>
  <c r="E142" i="9"/>
  <c r="E143" i="9"/>
  <c r="E144" i="9"/>
  <c r="E145" i="9"/>
  <c r="E146" i="9"/>
  <c r="E147" i="9"/>
  <c r="E148" i="9"/>
  <c r="E149" i="9"/>
  <c r="E150" i="9"/>
  <c r="E151" i="9"/>
  <c r="E152" i="9"/>
  <c r="E153" i="9"/>
  <c r="E154" i="9"/>
  <c r="E155" i="9"/>
  <c r="E156" i="9"/>
  <c r="E157" i="9"/>
  <c r="E158" i="9"/>
  <c r="E159" i="9"/>
  <c r="E160" i="9"/>
  <c r="E161" i="9"/>
  <c r="E162" i="9"/>
  <c r="E163" i="9"/>
  <c r="E164" i="9"/>
  <c r="E165" i="9"/>
  <c r="E166" i="9"/>
  <c r="E167" i="9"/>
  <c r="E168" i="9"/>
  <c r="E169" i="9"/>
  <c r="E170" i="9"/>
  <c r="E171" i="9"/>
  <c r="E172" i="9"/>
  <c r="E173" i="9"/>
  <c r="E174" i="9"/>
  <c r="E175" i="9"/>
  <c r="E176" i="9"/>
  <c r="E177" i="9"/>
  <c r="E178" i="9"/>
  <c r="E179" i="9"/>
  <c r="E180" i="9"/>
  <c r="E181" i="9"/>
  <c r="E182" i="9"/>
  <c r="E183" i="9"/>
  <c r="E184" i="9"/>
  <c r="E185" i="9"/>
  <c r="E186" i="9"/>
  <c r="E187" i="9"/>
  <c r="E188" i="9"/>
  <c r="E189" i="9"/>
  <c r="E190" i="9"/>
  <c r="E191" i="9"/>
  <c r="E192" i="9"/>
  <c r="E193" i="9"/>
  <c r="E194" i="9"/>
  <c r="E195" i="9"/>
  <c r="E196" i="9"/>
  <c r="E197" i="9"/>
  <c r="E2" i="9"/>
  <c r="D2" i="9"/>
  <c r="G2" i="9"/>
  <c r="F4" i="9"/>
  <c r="F5" i="9"/>
  <c r="F6" i="9"/>
  <c r="F7" i="9"/>
  <c r="F8" i="9"/>
  <c r="F9" i="9"/>
  <c r="F10" i="9"/>
  <c r="F11" i="9"/>
  <c r="F12" i="9"/>
  <c r="F13" i="9"/>
  <c r="F14" i="9"/>
  <c r="F15" i="9"/>
  <c r="F16" i="9"/>
  <c r="F17" i="9"/>
  <c r="F18" i="9"/>
  <c r="F19" i="9"/>
  <c r="F20" i="9"/>
  <c r="F21" i="9"/>
  <c r="F22" i="9"/>
  <c r="F23" i="9"/>
  <c r="F24" i="9"/>
  <c r="F25" i="9"/>
  <c r="F26" i="9"/>
  <c r="F27" i="9"/>
  <c r="F28" i="9"/>
  <c r="F29" i="9"/>
  <c r="F30" i="9"/>
  <c r="F31" i="9"/>
  <c r="F32" i="9"/>
  <c r="F33" i="9"/>
  <c r="F34" i="9"/>
  <c r="F35" i="9"/>
  <c r="F36" i="9"/>
  <c r="F37" i="9"/>
  <c r="F38" i="9"/>
  <c r="F39" i="9"/>
  <c r="F40" i="9"/>
  <c r="F41" i="9"/>
  <c r="F42" i="9"/>
  <c r="F43" i="9"/>
  <c r="F44" i="9"/>
  <c r="F45" i="9"/>
  <c r="F46" i="9"/>
  <c r="F47" i="9"/>
  <c r="F48" i="9"/>
  <c r="F49" i="9"/>
  <c r="F50" i="9"/>
  <c r="F51" i="9"/>
  <c r="F52" i="9"/>
  <c r="F53" i="9"/>
  <c r="F54" i="9"/>
  <c r="F55" i="9"/>
  <c r="F56" i="9"/>
  <c r="F57" i="9"/>
  <c r="F58" i="9"/>
  <c r="F59" i="9"/>
  <c r="F60" i="9"/>
  <c r="F61" i="9"/>
  <c r="F62" i="9"/>
  <c r="F63" i="9"/>
  <c r="F64" i="9"/>
  <c r="F65" i="9"/>
  <c r="F66" i="9"/>
  <c r="F67" i="9"/>
  <c r="F68" i="9"/>
  <c r="F69" i="9"/>
  <c r="F70" i="9"/>
  <c r="F71" i="9"/>
  <c r="F72" i="9"/>
  <c r="F73" i="9"/>
  <c r="F74" i="9"/>
  <c r="F75" i="9"/>
  <c r="F76" i="9"/>
  <c r="F77" i="9"/>
  <c r="F78" i="9"/>
  <c r="F79" i="9"/>
  <c r="F80" i="9"/>
  <c r="F81" i="9"/>
  <c r="F82" i="9"/>
  <c r="F83" i="9"/>
  <c r="F84" i="9"/>
  <c r="F85" i="9"/>
  <c r="F86" i="9"/>
  <c r="F87" i="9"/>
  <c r="F88" i="9"/>
  <c r="F89" i="9"/>
  <c r="F90" i="9"/>
  <c r="F91" i="9"/>
  <c r="F92" i="9"/>
  <c r="F93" i="9"/>
  <c r="F94" i="9"/>
  <c r="F95" i="9"/>
  <c r="F96" i="9"/>
  <c r="F97" i="9"/>
  <c r="F98" i="9"/>
  <c r="F99" i="9"/>
  <c r="F100" i="9"/>
  <c r="F101" i="9"/>
  <c r="F102" i="9"/>
  <c r="F103" i="9"/>
  <c r="F104" i="9"/>
  <c r="F105" i="9"/>
  <c r="F106" i="9"/>
  <c r="F107" i="9"/>
  <c r="F108" i="9"/>
  <c r="F109" i="9"/>
  <c r="F110" i="9"/>
  <c r="F111" i="9"/>
  <c r="F112" i="9"/>
  <c r="F113" i="9"/>
  <c r="F114" i="9"/>
  <c r="F115" i="9"/>
  <c r="F116" i="9"/>
  <c r="F117" i="9"/>
  <c r="F118" i="9"/>
  <c r="F119" i="9"/>
  <c r="F120" i="9"/>
  <c r="F121" i="9"/>
  <c r="F122" i="9"/>
  <c r="F123" i="9"/>
  <c r="F124" i="9"/>
  <c r="F125" i="9"/>
  <c r="F126" i="9"/>
  <c r="F127" i="9"/>
  <c r="F128" i="9"/>
  <c r="F129" i="9"/>
  <c r="F130" i="9"/>
  <c r="F131" i="9"/>
  <c r="F132" i="9"/>
  <c r="F133" i="9"/>
  <c r="F134" i="9"/>
  <c r="F135" i="9"/>
  <c r="F136" i="9"/>
  <c r="F137" i="9"/>
  <c r="F138" i="9"/>
  <c r="F139" i="9"/>
  <c r="F140" i="9"/>
  <c r="F141" i="9"/>
  <c r="F142" i="9"/>
  <c r="F143" i="9"/>
  <c r="F144" i="9"/>
  <c r="F145" i="9"/>
  <c r="F146" i="9"/>
  <c r="F147" i="9"/>
  <c r="F148" i="9"/>
  <c r="F149" i="9"/>
  <c r="F150" i="9"/>
  <c r="F151" i="9"/>
  <c r="F152" i="9"/>
  <c r="F153" i="9"/>
  <c r="F154" i="9"/>
  <c r="F155" i="9"/>
  <c r="F156" i="9"/>
  <c r="F157" i="9"/>
  <c r="F158" i="9"/>
  <c r="F159" i="9"/>
  <c r="F160" i="9"/>
  <c r="F161" i="9"/>
  <c r="F162" i="9"/>
  <c r="F163" i="9"/>
  <c r="F164" i="9"/>
  <c r="F165" i="9"/>
  <c r="F166" i="9"/>
  <c r="F167" i="9"/>
  <c r="F168" i="9"/>
  <c r="F169" i="9"/>
  <c r="F170" i="9"/>
  <c r="F171" i="9"/>
  <c r="F172" i="9"/>
  <c r="F173" i="9"/>
  <c r="F174" i="9"/>
  <c r="F175" i="9"/>
  <c r="F176" i="9"/>
  <c r="F177" i="9"/>
  <c r="F178" i="9"/>
  <c r="F179" i="9"/>
  <c r="F180" i="9"/>
  <c r="F181" i="9"/>
  <c r="F182" i="9"/>
  <c r="F183" i="9"/>
  <c r="F184" i="9"/>
  <c r="F185" i="9"/>
  <c r="F186" i="9"/>
  <c r="F187" i="9"/>
  <c r="F188" i="9"/>
  <c r="F189" i="9"/>
  <c r="F190" i="9"/>
  <c r="F191" i="9"/>
  <c r="F192" i="9"/>
  <c r="F193" i="9"/>
  <c r="F194" i="9"/>
  <c r="F195" i="9"/>
  <c r="F196" i="9"/>
  <c r="F197" i="9"/>
  <c r="F2" i="9"/>
  <c r="Q3" i="10"/>
  <c r="Q4" i="10"/>
  <c r="Q5" i="10"/>
  <c r="Q6" i="10"/>
  <c r="Q7" i="10"/>
  <c r="Q8" i="10"/>
  <c r="Q9" i="10"/>
  <c r="Q10" i="10"/>
  <c r="Q11" i="10"/>
  <c r="Q12" i="10"/>
  <c r="Q13" i="10"/>
  <c r="Q14" i="10"/>
  <c r="Q15" i="10"/>
  <c r="Q16" i="10"/>
  <c r="Q17" i="10"/>
  <c r="Q18" i="10"/>
  <c r="Q19" i="10"/>
  <c r="Q20" i="10"/>
  <c r="Q21" i="10"/>
  <c r="Q22" i="10"/>
  <c r="Q23" i="10"/>
  <c r="Q24" i="10"/>
  <c r="Q25" i="10"/>
  <c r="Q26" i="10"/>
  <c r="Q27" i="10"/>
  <c r="Q28" i="10"/>
  <c r="Q29" i="10"/>
  <c r="Q30" i="10"/>
  <c r="Q31" i="10"/>
  <c r="Q32" i="10"/>
  <c r="Q33" i="10"/>
  <c r="Q34" i="10"/>
  <c r="Q35" i="10"/>
  <c r="Q36" i="10"/>
  <c r="Q37" i="10"/>
  <c r="Q38" i="10"/>
  <c r="Q39" i="10"/>
  <c r="Q40" i="10"/>
  <c r="Q41" i="10"/>
  <c r="Q42" i="10"/>
  <c r="Q43" i="10"/>
  <c r="Q44" i="10"/>
  <c r="Q45" i="10"/>
  <c r="Q46" i="10"/>
  <c r="Q47" i="10"/>
  <c r="Q48" i="10"/>
  <c r="Q49" i="10"/>
  <c r="Q50" i="10"/>
  <c r="Q51" i="10"/>
  <c r="Q52" i="10"/>
  <c r="Q53" i="10"/>
  <c r="Q54" i="10"/>
  <c r="Q55" i="10"/>
  <c r="Q56" i="10"/>
  <c r="Q57" i="10"/>
  <c r="Q58" i="10"/>
  <c r="Q59" i="10"/>
  <c r="Q60" i="10"/>
  <c r="Q61" i="10"/>
  <c r="Q62" i="10"/>
  <c r="Q63" i="10"/>
  <c r="Q64" i="10"/>
  <c r="Q65" i="10"/>
  <c r="Q66" i="10"/>
  <c r="Q67" i="10"/>
  <c r="Q68" i="10"/>
  <c r="Q69" i="10"/>
  <c r="Q70" i="10"/>
  <c r="Q71" i="10"/>
  <c r="Q72" i="10"/>
  <c r="Q73" i="10"/>
  <c r="Q74" i="10"/>
  <c r="Q75" i="10"/>
  <c r="Q76" i="10"/>
  <c r="Q77" i="10"/>
  <c r="Q78" i="10"/>
  <c r="Q79" i="10"/>
  <c r="Q80" i="10"/>
  <c r="Q81" i="10"/>
  <c r="Q82" i="10"/>
  <c r="Q83" i="10"/>
  <c r="Q84" i="10"/>
  <c r="Q85" i="10"/>
  <c r="Q86" i="10"/>
  <c r="Q87" i="10"/>
  <c r="Q88" i="10"/>
  <c r="Q89" i="10"/>
  <c r="Q90" i="10"/>
  <c r="Q91" i="10"/>
  <c r="Q92" i="10"/>
  <c r="Q93" i="10"/>
  <c r="Q94" i="10"/>
  <c r="Q95" i="10"/>
  <c r="Q96" i="10"/>
  <c r="Q97" i="10"/>
  <c r="Q98" i="10"/>
  <c r="Q99" i="10"/>
  <c r="Q100" i="10"/>
  <c r="Q101" i="10"/>
  <c r="Q102" i="10"/>
  <c r="Q103" i="10"/>
  <c r="Q104" i="10"/>
  <c r="Q105" i="10"/>
  <c r="Q106" i="10"/>
  <c r="Q107" i="10"/>
  <c r="Q108" i="10"/>
  <c r="Q109" i="10"/>
  <c r="Q110" i="10"/>
  <c r="Q111" i="10"/>
  <c r="Q112" i="10"/>
  <c r="Q113" i="10"/>
  <c r="Q114" i="10"/>
  <c r="Q115" i="10"/>
  <c r="Q116" i="10"/>
  <c r="Q117" i="10"/>
  <c r="Q118" i="10"/>
  <c r="Q119" i="10"/>
  <c r="Q120" i="10"/>
  <c r="Q121" i="10"/>
  <c r="Q122" i="10"/>
  <c r="Q123" i="10"/>
  <c r="Q124" i="10"/>
  <c r="Q125" i="10"/>
  <c r="Q126" i="10"/>
  <c r="Q127" i="10"/>
  <c r="Q128" i="10"/>
  <c r="Q129" i="10"/>
  <c r="Q130" i="10"/>
  <c r="Q131" i="10"/>
  <c r="Q132" i="10"/>
  <c r="Q133" i="10"/>
  <c r="Q134" i="10"/>
  <c r="Q135" i="10"/>
  <c r="Q136" i="10"/>
  <c r="Q137" i="10"/>
  <c r="Q138" i="10"/>
  <c r="Q139" i="10"/>
  <c r="Q140" i="10"/>
  <c r="Q141" i="10"/>
  <c r="Q142" i="10"/>
  <c r="Q143" i="10"/>
  <c r="Q144" i="10"/>
  <c r="Q145" i="10"/>
  <c r="Q146" i="10"/>
  <c r="Q147" i="10"/>
  <c r="Q148" i="10"/>
  <c r="Q149" i="10"/>
  <c r="Q150" i="10"/>
  <c r="Q151" i="10"/>
  <c r="Q152" i="10"/>
  <c r="Q153" i="10"/>
  <c r="Q154" i="10"/>
  <c r="Q155" i="10"/>
  <c r="Q156" i="10"/>
  <c r="Q157" i="10"/>
  <c r="Q158" i="10"/>
  <c r="Q159" i="10"/>
  <c r="Q160" i="10"/>
  <c r="Q161" i="10"/>
  <c r="Q162" i="10"/>
  <c r="Q163" i="10"/>
  <c r="Q164" i="10"/>
  <c r="Q165" i="10"/>
  <c r="Q166" i="10"/>
  <c r="Q167" i="10"/>
  <c r="Q168" i="10"/>
  <c r="Q169" i="10"/>
  <c r="Q170" i="10"/>
  <c r="Q171" i="10"/>
  <c r="Q172" i="10"/>
  <c r="Q173" i="10"/>
  <c r="Q174" i="10"/>
  <c r="Q175" i="10"/>
  <c r="Q176" i="10"/>
  <c r="Q177" i="10"/>
  <c r="Q178" i="10"/>
  <c r="Q179" i="10"/>
  <c r="Q180" i="10"/>
  <c r="Q181" i="10"/>
  <c r="Q182" i="10"/>
  <c r="Q183" i="10"/>
  <c r="Q184" i="10"/>
  <c r="Q185" i="10"/>
  <c r="Q186" i="10"/>
  <c r="Q187" i="10"/>
  <c r="Q188" i="10"/>
  <c r="Q189" i="10"/>
  <c r="Q190" i="10"/>
  <c r="Q191" i="10"/>
  <c r="Q192" i="10"/>
  <c r="Q193" i="10"/>
  <c r="Q194" i="10"/>
  <c r="Q195" i="10"/>
  <c r="Q196" i="10"/>
  <c r="Q197" i="10"/>
  <c r="M4" i="10"/>
  <c r="M5" i="10"/>
  <c r="M6" i="10"/>
  <c r="M7" i="10"/>
  <c r="M8" i="10"/>
  <c r="M9" i="10"/>
  <c r="M10" i="10"/>
  <c r="M11" i="10"/>
  <c r="M12" i="10"/>
  <c r="M13" i="10"/>
  <c r="M14" i="10"/>
  <c r="M15" i="10"/>
  <c r="M16" i="10"/>
  <c r="M17" i="10"/>
  <c r="M18" i="10"/>
  <c r="M19" i="10"/>
  <c r="M20" i="10"/>
  <c r="M21" i="10"/>
  <c r="M22" i="10"/>
  <c r="M23" i="10"/>
  <c r="M24" i="10"/>
  <c r="M25" i="10"/>
  <c r="M26" i="10"/>
  <c r="M27" i="10"/>
  <c r="M28" i="10"/>
  <c r="M29" i="10"/>
  <c r="M30" i="10"/>
  <c r="M31" i="10"/>
  <c r="M32" i="10"/>
  <c r="M33" i="10"/>
  <c r="M34" i="10"/>
  <c r="M35" i="10"/>
  <c r="M36" i="10"/>
  <c r="M37" i="10"/>
  <c r="M38" i="10"/>
  <c r="M39" i="10"/>
  <c r="M40" i="10"/>
  <c r="M41" i="10"/>
  <c r="M42" i="10"/>
  <c r="M43" i="10"/>
  <c r="M44" i="10"/>
  <c r="M45" i="10"/>
  <c r="M46" i="10"/>
  <c r="M47" i="10"/>
  <c r="M48" i="10"/>
  <c r="M49" i="10"/>
  <c r="M50" i="10"/>
  <c r="M51" i="10"/>
  <c r="M52" i="10"/>
  <c r="M53" i="10"/>
  <c r="M54" i="10"/>
  <c r="M55" i="10"/>
  <c r="M56" i="10"/>
  <c r="M57" i="10"/>
  <c r="M58" i="10"/>
  <c r="M59" i="10"/>
  <c r="M60" i="10"/>
  <c r="M61" i="10"/>
  <c r="M62" i="10"/>
  <c r="M63" i="10"/>
  <c r="M64" i="10"/>
  <c r="M65" i="10"/>
  <c r="M66" i="10"/>
  <c r="M67" i="10"/>
  <c r="M68" i="10"/>
  <c r="M69" i="10"/>
  <c r="M70" i="10"/>
  <c r="M71" i="10"/>
  <c r="M72" i="10"/>
  <c r="M73" i="10"/>
  <c r="M74" i="10"/>
  <c r="M75" i="10"/>
  <c r="M76" i="10"/>
  <c r="M77" i="10"/>
  <c r="M78" i="10"/>
  <c r="M79" i="10"/>
  <c r="M80" i="10"/>
  <c r="M81" i="10"/>
  <c r="M82" i="10"/>
  <c r="M83" i="10"/>
  <c r="M84" i="10"/>
  <c r="M85" i="10"/>
  <c r="M86" i="10"/>
  <c r="M87" i="10"/>
  <c r="M88" i="10"/>
  <c r="M89" i="10"/>
  <c r="M90" i="10"/>
  <c r="M91" i="10"/>
  <c r="M92" i="10"/>
  <c r="M93" i="10"/>
  <c r="M94" i="10"/>
  <c r="M95" i="10"/>
  <c r="M96" i="10"/>
  <c r="M97" i="10"/>
  <c r="M98" i="10"/>
  <c r="M99" i="10"/>
  <c r="M100" i="10"/>
  <c r="M101" i="10"/>
  <c r="M102" i="10"/>
  <c r="M103" i="10"/>
  <c r="M104" i="10"/>
  <c r="M105" i="10"/>
  <c r="M106" i="10"/>
  <c r="M107" i="10"/>
  <c r="M108" i="10"/>
  <c r="M109" i="10"/>
  <c r="M110" i="10"/>
  <c r="M111" i="10"/>
  <c r="M112" i="10"/>
  <c r="M113" i="10"/>
  <c r="M114" i="10"/>
  <c r="M115" i="10"/>
  <c r="M116" i="10"/>
  <c r="M117" i="10"/>
  <c r="M118" i="10"/>
  <c r="M119" i="10"/>
  <c r="M120" i="10"/>
  <c r="M121" i="10"/>
  <c r="M122" i="10"/>
  <c r="M123" i="10"/>
  <c r="M124" i="10"/>
  <c r="M125" i="10"/>
  <c r="M126" i="10"/>
  <c r="M127" i="10"/>
  <c r="M128" i="10"/>
  <c r="M129" i="10"/>
  <c r="M130" i="10"/>
  <c r="M131" i="10"/>
  <c r="M132" i="10"/>
  <c r="M133" i="10"/>
  <c r="M134" i="10"/>
  <c r="M135" i="10"/>
  <c r="M136" i="10"/>
  <c r="M137" i="10"/>
  <c r="M138" i="10"/>
  <c r="M139" i="10"/>
  <c r="M140" i="10"/>
  <c r="M141" i="10"/>
  <c r="M142" i="10"/>
  <c r="M143" i="10"/>
  <c r="M144" i="10"/>
  <c r="M145" i="10"/>
  <c r="M146" i="10"/>
  <c r="M147" i="10"/>
  <c r="M148" i="10"/>
  <c r="M149" i="10"/>
  <c r="M150" i="10"/>
  <c r="M151" i="10"/>
  <c r="M152" i="10"/>
  <c r="M153" i="10"/>
  <c r="M154" i="10"/>
  <c r="M155" i="10"/>
  <c r="M156" i="10"/>
  <c r="M157" i="10"/>
  <c r="M158" i="10"/>
  <c r="M159" i="10"/>
  <c r="M160" i="10"/>
  <c r="M161" i="10"/>
  <c r="M162" i="10"/>
  <c r="M163" i="10"/>
  <c r="M164" i="10"/>
  <c r="M165" i="10"/>
  <c r="M166" i="10"/>
  <c r="M167" i="10"/>
  <c r="M168" i="10"/>
  <c r="M169" i="10"/>
  <c r="M170" i="10"/>
  <c r="M171" i="10"/>
  <c r="M172" i="10"/>
  <c r="M173" i="10"/>
  <c r="M174" i="10"/>
  <c r="M175" i="10"/>
  <c r="M176" i="10"/>
  <c r="M177" i="10"/>
  <c r="M178" i="10"/>
  <c r="M179" i="10"/>
  <c r="M180" i="10"/>
  <c r="M181" i="10"/>
  <c r="M182" i="10"/>
  <c r="M183" i="10"/>
  <c r="M184" i="10"/>
  <c r="M185" i="10"/>
  <c r="M186" i="10"/>
  <c r="M187" i="10"/>
  <c r="M188" i="10"/>
  <c r="M189" i="10"/>
  <c r="M190" i="10"/>
  <c r="M191" i="10"/>
  <c r="M192" i="10"/>
  <c r="M193" i="10"/>
  <c r="M194" i="10"/>
  <c r="M195" i="10"/>
  <c r="M196" i="10"/>
  <c r="M197" i="10"/>
  <c r="Q2" i="10"/>
  <c r="M2" i="10"/>
  <c r="I2" i="10"/>
  <c r="G2" i="10"/>
  <c r="H2" i="10"/>
  <c r="H4" i="10"/>
  <c r="H5" i="10"/>
  <c r="H6" i="10"/>
  <c r="H7" i="10"/>
  <c r="H8" i="10"/>
  <c r="H9" i="10"/>
  <c r="H10" i="10"/>
  <c r="H11" i="10"/>
  <c r="H12" i="10"/>
  <c r="H13" i="10"/>
  <c r="H14" i="10"/>
  <c r="H15" i="10"/>
  <c r="H16" i="10"/>
  <c r="H17" i="10"/>
  <c r="H18" i="10"/>
  <c r="H19" i="10"/>
  <c r="H20" i="10"/>
  <c r="H21" i="10"/>
  <c r="H22" i="10"/>
  <c r="H23" i="10"/>
  <c r="H24" i="10"/>
  <c r="H25" i="10"/>
  <c r="H26" i="10"/>
  <c r="H27" i="10"/>
  <c r="H28" i="10"/>
  <c r="H29" i="10"/>
  <c r="H30" i="10"/>
  <c r="H31" i="10"/>
  <c r="H32" i="10"/>
  <c r="H33" i="10"/>
  <c r="H34" i="10"/>
  <c r="H35" i="10"/>
  <c r="H36" i="10"/>
  <c r="H37" i="10"/>
  <c r="H38" i="10"/>
  <c r="H39" i="10"/>
  <c r="H40" i="10"/>
  <c r="H41" i="10"/>
  <c r="H42" i="10"/>
  <c r="H43" i="10"/>
  <c r="H44" i="10"/>
  <c r="H45" i="10"/>
  <c r="H46" i="10"/>
  <c r="H47" i="10"/>
  <c r="H48" i="10"/>
  <c r="H49" i="10"/>
  <c r="H50" i="10"/>
  <c r="H51" i="10"/>
  <c r="H52" i="10"/>
  <c r="H53" i="10"/>
  <c r="H54" i="10"/>
  <c r="H55" i="10"/>
  <c r="H56" i="10"/>
  <c r="H57" i="10"/>
  <c r="H58" i="10"/>
  <c r="H59" i="10"/>
  <c r="H60" i="10"/>
  <c r="H61" i="10"/>
  <c r="H62" i="10"/>
  <c r="H63" i="10"/>
  <c r="H64" i="10"/>
  <c r="H65" i="10"/>
  <c r="H66" i="10"/>
  <c r="H67" i="10"/>
  <c r="H68" i="10"/>
  <c r="H69" i="10"/>
  <c r="H70" i="10"/>
  <c r="H71" i="10"/>
  <c r="H72" i="10"/>
  <c r="H73" i="10"/>
  <c r="H74" i="10"/>
  <c r="H75" i="10"/>
  <c r="H76" i="10"/>
  <c r="H77" i="10"/>
  <c r="H78" i="10"/>
  <c r="H79" i="10"/>
  <c r="H80" i="10"/>
  <c r="H81" i="10"/>
  <c r="H82" i="10"/>
  <c r="H83" i="10"/>
  <c r="H84" i="10"/>
  <c r="H85" i="10"/>
  <c r="H86" i="10"/>
  <c r="H87" i="10"/>
  <c r="H88" i="10"/>
  <c r="H89" i="10"/>
  <c r="H90" i="10"/>
  <c r="H91" i="10"/>
  <c r="H92" i="10"/>
  <c r="H93" i="10"/>
  <c r="H94" i="10"/>
  <c r="H95" i="10"/>
  <c r="H96" i="10"/>
  <c r="H97" i="10"/>
  <c r="H98" i="10"/>
  <c r="H99" i="10"/>
  <c r="H100" i="10"/>
  <c r="H101" i="10"/>
  <c r="H102" i="10"/>
  <c r="H103" i="10"/>
  <c r="H104" i="10"/>
  <c r="H105" i="10"/>
  <c r="H106" i="10"/>
  <c r="H107" i="10"/>
  <c r="H108" i="10"/>
  <c r="H109" i="10"/>
  <c r="H110" i="10"/>
  <c r="H111" i="10"/>
  <c r="H112" i="10"/>
  <c r="H113" i="10"/>
  <c r="H114" i="10"/>
  <c r="H115" i="10"/>
  <c r="H116" i="10"/>
  <c r="H117" i="10"/>
  <c r="H118" i="10"/>
  <c r="H119" i="10"/>
  <c r="H120" i="10"/>
  <c r="H121" i="10"/>
  <c r="H122" i="10"/>
  <c r="H123" i="10"/>
  <c r="H124" i="10"/>
  <c r="H125" i="10"/>
  <c r="H126" i="10"/>
  <c r="H127" i="10"/>
  <c r="H128" i="10"/>
  <c r="H129" i="10"/>
  <c r="H130" i="10"/>
  <c r="H131" i="10"/>
  <c r="H132" i="10"/>
  <c r="H133" i="10"/>
  <c r="H134" i="10"/>
  <c r="H135" i="10"/>
  <c r="H136" i="10"/>
  <c r="H137" i="10"/>
  <c r="H138" i="10"/>
  <c r="H139" i="10"/>
  <c r="H140" i="10"/>
  <c r="H141" i="10"/>
  <c r="H142" i="10"/>
  <c r="H143" i="10"/>
  <c r="H144" i="10"/>
  <c r="H145" i="10"/>
  <c r="H146" i="10"/>
  <c r="H147" i="10"/>
  <c r="H148" i="10"/>
  <c r="H149" i="10"/>
  <c r="H150" i="10"/>
  <c r="H151" i="10"/>
  <c r="H152" i="10"/>
  <c r="H153" i="10"/>
  <c r="H154" i="10"/>
  <c r="H155" i="10"/>
  <c r="H156" i="10"/>
  <c r="H157" i="10"/>
  <c r="H158" i="10"/>
  <c r="H159" i="10"/>
  <c r="H160" i="10"/>
  <c r="H161" i="10"/>
  <c r="H162" i="10"/>
  <c r="H163" i="10"/>
  <c r="H164" i="10"/>
  <c r="H165" i="10"/>
  <c r="H166" i="10"/>
  <c r="H167" i="10"/>
  <c r="H168" i="10"/>
  <c r="H169" i="10"/>
  <c r="H170" i="10"/>
  <c r="H171" i="10"/>
  <c r="H172" i="10"/>
  <c r="H173" i="10"/>
  <c r="H174" i="10"/>
  <c r="H175" i="10"/>
  <c r="H176" i="10"/>
  <c r="H177" i="10"/>
  <c r="H178" i="10"/>
  <c r="H179" i="10"/>
  <c r="H180" i="10"/>
  <c r="H181" i="10"/>
  <c r="H182" i="10"/>
  <c r="H183" i="10"/>
  <c r="H184" i="10"/>
  <c r="H185" i="10"/>
  <c r="H186" i="10"/>
  <c r="H187" i="10"/>
  <c r="H188" i="10"/>
  <c r="H189" i="10"/>
  <c r="H190" i="10"/>
  <c r="H191" i="10"/>
  <c r="H192" i="10"/>
  <c r="H193" i="10"/>
  <c r="H194" i="10"/>
  <c r="H195" i="10"/>
  <c r="H196" i="10"/>
  <c r="H197" i="10"/>
  <c r="D5" i="10"/>
  <c r="D6" i="10"/>
  <c r="D7" i="10"/>
  <c r="D8" i="10"/>
  <c r="D9" i="10"/>
  <c r="D10" i="10"/>
  <c r="D11" i="10"/>
  <c r="D12" i="10"/>
  <c r="D13" i="10"/>
  <c r="D14" i="10"/>
  <c r="D15" i="10"/>
  <c r="D16" i="10"/>
  <c r="D17" i="10"/>
  <c r="D18" i="10"/>
  <c r="D19" i="10"/>
  <c r="D20" i="10"/>
  <c r="D21" i="10"/>
  <c r="D22" i="10"/>
  <c r="D23" i="10"/>
  <c r="D24" i="10"/>
  <c r="D25" i="10"/>
  <c r="D26" i="10"/>
  <c r="D27" i="10"/>
  <c r="D28" i="10"/>
  <c r="D29" i="10"/>
  <c r="D30" i="10"/>
  <c r="D31" i="10"/>
  <c r="D32" i="10"/>
  <c r="D33" i="10"/>
  <c r="D34" i="10"/>
  <c r="D35" i="10"/>
  <c r="D36" i="10"/>
  <c r="D37" i="10"/>
  <c r="D38" i="10"/>
  <c r="D39" i="10"/>
  <c r="D40" i="10"/>
  <c r="D41" i="10"/>
  <c r="D42" i="10"/>
  <c r="D43" i="10"/>
  <c r="D44" i="10"/>
  <c r="D45" i="10"/>
  <c r="D46" i="10"/>
  <c r="D47" i="10"/>
  <c r="D48" i="10"/>
  <c r="D49" i="10"/>
  <c r="D50" i="10"/>
  <c r="D51" i="10"/>
  <c r="D52" i="10"/>
  <c r="D53" i="10"/>
  <c r="D54" i="10"/>
  <c r="D55" i="10"/>
  <c r="D56" i="10"/>
  <c r="D57" i="10"/>
  <c r="D58" i="10"/>
  <c r="D59" i="10"/>
  <c r="D60" i="10"/>
  <c r="D61" i="10"/>
  <c r="D62" i="10"/>
  <c r="D63" i="10"/>
  <c r="D64" i="10"/>
  <c r="D65" i="10"/>
  <c r="D66" i="10"/>
  <c r="D67" i="10"/>
  <c r="D68" i="10"/>
  <c r="D69" i="10"/>
  <c r="D70" i="10"/>
  <c r="D71" i="10"/>
  <c r="D72" i="10"/>
  <c r="D73" i="10"/>
  <c r="D74" i="10"/>
  <c r="D75" i="10"/>
  <c r="D76" i="10"/>
  <c r="D77" i="10"/>
  <c r="D78" i="10"/>
  <c r="D79" i="10"/>
  <c r="D80" i="10"/>
  <c r="D81" i="10"/>
  <c r="D82" i="10"/>
  <c r="D83" i="10"/>
  <c r="D84" i="10"/>
  <c r="D85" i="10"/>
  <c r="D86" i="10"/>
  <c r="D87" i="10"/>
  <c r="D88" i="10"/>
  <c r="D89" i="10"/>
  <c r="D90" i="10"/>
  <c r="D91" i="10"/>
  <c r="D92" i="10"/>
  <c r="D93" i="10"/>
  <c r="D94" i="10"/>
  <c r="D95" i="10"/>
  <c r="D96" i="10"/>
  <c r="D97" i="10"/>
  <c r="D98" i="10"/>
  <c r="D99" i="10"/>
  <c r="D100" i="10"/>
  <c r="D101" i="10"/>
  <c r="D102" i="10"/>
  <c r="D103" i="10"/>
  <c r="D104" i="10"/>
  <c r="D105" i="10"/>
  <c r="D106" i="10"/>
  <c r="D107" i="10"/>
  <c r="D108" i="10"/>
  <c r="D109" i="10"/>
  <c r="D110" i="10"/>
  <c r="D111" i="10"/>
  <c r="D112" i="10"/>
  <c r="D113" i="10"/>
  <c r="D114" i="10"/>
  <c r="D115" i="10"/>
  <c r="D116" i="10"/>
  <c r="D117" i="10"/>
  <c r="D118" i="10"/>
  <c r="D119" i="10"/>
  <c r="D120" i="10"/>
  <c r="D121" i="10"/>
  <c r="D122" i="10"/>
  <c r="D123" i="10"/>
  <c r="D124" i="10"/>
  <c r="D125" i="10"/>
  <c r="D126" i="10"/>
  <c r="D127" i="10"/>
  <c r="D128" i="10"/>
  <c r="D129" i="10"/>
  <c r="D130" i="10"/>
  <c r="D131" i="10"/>
  <c r="D132" i="10"/>
  <c r="D133" i="10"/>
  <c r="D134" i="10"/>
  <c r="D135" i="10"/>
  <c r="D136" i="10"/>
  <c r="D137" i="10"/>
  <c r="D138" i="10"/>
  <c r="D139" i="10"/>
  <c r="D140" i="10"/>
  <c r="D141" i="10"/>
  <c r="D142" i="10"/>
  <c r="D143" i="10"/>
  <c r="D144" i="10"/>
  <c r="D145" i="10"/>
  <c r="D146" i="10"/>
  <c r="D147" i="10"/>
  <c r="D148" i="10"/>
  <c r="D149" i="10"/>
  <c r="D150" i="10"/>
  <c r="D151" i="10"/>
  <c r="D152" i="10"/>
  <c r="D153" i="10"/>
  <c r="D154" i="10"/>
  <c r="D155" i="10"/>
  <c r="D156" i="10"/>
  <c r="D157" i="10"/>
  <c r="D158" i="10"/>
  <c r="D159" i="10"/>
  <c r="D160" i="10"/>
  <c r="D161" i="10"/>
  <c r="D162" i="10"/>
  <c r="D163" i="10"/>
  <c r="D164" i="10"/>
  <c r="D165" i="10"/>
  <c r="D166" i="10"/>
  <c r="D167" i="10"/>
  <c r="D168" i="10"/>
  <c r="D169" i="10"/>
  <c r="D170" i="10"/>
  <c r="D171" i="10"/>
  <c r="D172" i="10"/>
  <c r="D173" i="10"/>
  <c r="D174" i="10"/>
  <c r="D175" i="10"/>
  <c r="D176" i="10"/>
  <c r="D177" i="10"/>
  <c r="D178" i="10"/>
  <c r="D179" i="10"/>
  <c r="D180" i="10"/>
  <c r="D181" i="10"/>
  <c r="D182" i="10"/>
  <c r="D183" i="10"/>
  <c r="D184" i="10"/>
  <c r="D185" i="10"/>
  <c r="D186" i="10"/>
  <c r="D187" i="10"/>
  <c r="D188" i="10"/>
  <c r="D189" i="10"/>
  <c r="D190" i="10"/>
  <c r="D191" i="10"/>
  <c r="D192" i="10"/>
  <c r="D193" i="10"/>
  <c r="D194" i="10"/>
  <c r="D195" i="10"/>
  <c r="D196" i="10"/>
  <c r="D197" i="10"/>
  <c r="D2" i="10"/>
  <c r="K196" i="9"/>
  <c r="K197" i="9"/>
  <c r="K6" i="9"/>
  <c r="K7" i="9"/>
  <c r="K8" i="9"/>
  <c r="K9" i="9"/>
  <c r="K10" i="9"/>
  <c r="K11" i="9"/>
  <c r="K12" i="9"/>
  <c r="K13" i="9"/>
  <c r="K14" i="9"/>
  <c r="K15" i="9"/>
  <c r="K16" i="9"/>
  <c r="K17" i="9"/>
  <c r="K18" i="9"/>
  <c r="K19" i="9"/>
  <c r="K20" i="9"/>
  <c r="K21" i="9"/>
  <c r="K22" i="9"/>
  <c r="K23" i="9"/>
  <c r="K24" i="9"/>
  <c r="K25" i="9"/>
  <c r="K26" i="9"/>
  <c r="K27" i="9"/>
  <c r="K28" i="9"/>
  <c r="K29" i="9"/>
  <c r="K30" i="9"/>
  <c r="K31" i="9"/>
  <c r="K32" i="9"/>
  <c r="K33" i="9"/>
  <c r="K34" i="9"/>
  <c r="K35" i="9"/>
  <c r="K36" i="9"/>
  <c r="K37" i="9"/>
  <c r="K38" i="9"/>
  <c r="K39" i="9"/>
  <c r="K40" i="9"/>
  <c r="K41" i="9"/>
  <c r="K42" i="9"/>
  <c r="K43" i="9"/>
  <c r="K44" i="9"/>
  <c r="K45" i="9"/>
  <c r="K46" i="9"/>
  <c r="K47" i="9"/>
  <c r="K48" i="9"/>
  <c r="K49" i="9"/>
  <c r="K50" i="9"/>
  <c r="K51" i="9"/>
  <c r="K52" i="9"/>
  <c r="K53" i="9"/>
  <c r="K54" i="9"/>
  <c r="K55" i="9"/>
  <c r="K56" i="9"/>
  <c r="K57" i="9"/>
  <c r="K58" i="9"/>
  <c r="K59" i="9"/>
  <c r="K60" i="9"/>
  <c r="K61" i="9"/>
  <c r="K62" i="9"/>
  <c r="K63" i="9"/>
  <c r="K64" i="9"/>
  <c r="K65" i="9"/>
  <c r="K66" i="9"/>
  <c r="K67" i="9"/>
  <c r="K68" i="9"/>
  <c r="K69" i="9"/>
  <c r="K70" i="9"/>
  <c r="K71" i="9"/>
  <c r="K72" i="9"/>
  <c r="K73" i="9"/>
  <c r="K74" i="9"/>
  <c r="K75" i="9"/>
  <c r="K76" i="9"/>
  <c r="K77" i="9"/>
  <c r="K78" i="9"/>
  <c r="K79" i="9"/>
  <c r="K80" i="9"/>
  <c r="K81" i="9"/>
  <c r="K82" i="9"/>
  <c r="K83" i="9"/>
  <c r="K84" i="9"/>
  <c r="K85" i="9"/>
  <c r="K86" i="9"/>
  <c r="K87" i="9"/>
  <c r="K88" i="9"/>
  <c r="K89" i="9"/>
  <c r="K90" i="9"/>
  <c r="K91" i="9"/>
  <c r="K92" i="9"/>
  <c r="K93" i="9"/>
  <c r="K94" i="9"/>
  <c r="K95" i="9"/>
  <c r="K96" i="9"/>
  <c r="K97" i="9"/>
  <c r="K98" i="9"/>
  <c r="K99" i="9"/>
  <c r="K100" i="9"/>
  <c r="K101" i="9"/>
  <c r="K102" i="9"/>
  <c r="K103" i="9"/>
  <c r="K104" i="9"/>
  <c r="K105" i="9"/>
  <c r="K106" i="9"/>
  <c r="K107" i="9"/>
  <c r="K108" i="9"/>
  <c r="K109" i="9"/>
  <c r="K110" i="9"/>
  <c r="K111" i="9"/>
  <c r="K112" i="9"/>
  <c r="K113" i="9"/>
  <c r="K114" i="9"/>
  <c r="K115" i="9"/>
  <c r="K116" i="9"/>
  <c r="K117" i="9"/>
  <c r="K118" i="9"/>
  <c r="K119" i="9"/>
  <c r="K120" i="9"/>
  <c r="K121" i="9"/>
  <c r="K122" i="9"/>
  <c r="K123" i="9"/>
  <c r="K124" i="9"/>
  <c r="K125" i="9"/>
  <c r="K126" i="9"/>
  <c r="K127" i="9"/>
  <c r="K128" i="9"/>
  <c r="K129" i="9"/>
  <c r="K130" i="9"/>
  <c r="K131" i="9"/>
  <c r="K132" i="9"/>
  <c r="K133" i="9"/>
  <c r="K134" i="9"/>
  <c r="K135" i="9"/>
  <c r="K136" i="9"/>
  <c r="K137" i="9"/>
  <c r="K138" i="9"/>
  <c r="K139" i="9"/>
  <c r="K140" i="9"/>
  <c r="K141" i="9"/>
  <c r="K142" i="9"/>
  <c r="K143" i="9"/>
  <c r="K144" i="9"/>
  <c r="K145" i="9"/>
  <c r="K146" i="9"/>
  <c r="K147" i="9"/>
  <c r="K148" i="9"/>
  <c r="K149" i="9"/>
  <c r="K150" i="9"/>
  <c r="K151" i="9"/>
  <c r="K152" i="9"/>
  <c r="K153" i="9"/>
  <c r="K154" i="9"/>
  <c r="K155" i="9"/>
  <c r="K156" i="9"/>
  <c r="K157" i="9"/>
  <c r="K158" i="9"/>
  <c r="K159" i="9"/>
  <c r="K160" i="9"/>
  <c r="K161" i="9"/>
  <c r="K162" i="9"/>
  <c r="K163" i="9"/>
  <c r="K164" i="9"/>
  <c r="K165" i="9"/>
  <c r="K166" i="9"/>
  <c r="K167" i="9"/>
  <c r="K168" i="9"/>
  <c r="K169" i="9"/>
  <c r="K170" i="9"/>
  <c r="K171" i="9"/>
  <c r="K172" i="9"/>
  <c r="K173" i="9"/>
  <c r="K174" i="9"/>
  <c r="K175" i="9"/>
  <c r="K176" i="9"/>
  <c r="K177" i="9"/>
  <c r="K178" i="9"/>
  <c r="K179" i="9"/>
  <c r="K180" i="9"/>
  <c r="K181" i="9"/>
  <c r="K182" i="9"/>
  <c r="K183" i="9"/>
  <c r="K184" i="9"/>
  <c r="K185" i="9"/>
  <c r="K186" i="9"/>
  <c r="K187" i="9"/>
  <c r="K188" i="9"/>
  <c r="K189" i="9"/>
  <c r="K190" i="9"/>
  <c r="K191" i="9"/>
  <c r="K192" i="9"/>
  <c r="K193" i="9"/>
  <c r="K194" i="9"/>
  <c r="K195" i="9"/>
  <c r="B3" i="8"/>
  <c r="B2" i="8"/>
  <c r="B4" i="8"/>
  <c r="B5" i="8"/>
  <c r="B6" i="8"/>
  <c r="B7" i="8"/>
  <c r="B8" i="8"/>
  <c r="B9" i="8"/>
  <c r="B10" i="8"/>
  <c r="B11" i="8"/>
  <c r="B12" i="8"/>
  <c r="B13" i="8"/>
  <c r="B14" i="8"/>
  <c r="B15" i="8"/>
  <c r="B16" i="8"/>
  <c r="B17" i="8"/>
  <c r="B18" i="8"/>
  <c r="B19" i="8"/>
  <c r="B20" i="8"/>
  <c r="B21" i="8"/>
  <c r="B22" i="8"/>
  <c r="B23" i="8"/>
  <c r="B24" i="8"/>
  <c r="B25" i="8"/>
  <c r="B26" i="8"/>
  <c r="B27" i="8"/>
  <c r="B28" i="8"/>
  <c r="B29" i="8"/>
  <c r="B30" i="8"/>
  <c r="B31" i="8"/>
  <c r="B32" i="8"/>
  <c r="B33" i="8"/>
  <c r="B34" i="8"/>
  <c r="B35" i="8"/>
  <c r="B36" i="8"/>
  <c r="B37" i="8"/>
  <c r="B38" i="8"/>
  <c r="B39" i="8"/>
  <c r="B40" i="8"/>
  <c r="B41" i="8"/>
  <c r="B42" i="8"/>
  <c r="B43" i="8"/>
  <c r="B44" i="8"/>
  <c r="B45" i="8"/>
  <c r="B46" i="8"/>
  <c r="B47" i="8"/>
  <c r="B48" i="8"/>
  <c r="B49" i="8"/>
  <c r="B50" i="8"/>
  <c r="B51" i="8"/>
  <c r="B52" i="8"/>
  <c r="B53" i="8"/>
  <c r="B54" i="8"/>
  <c r="B55" i="8"/>
  <c r="B56" i="8"/>
  <c r="B57" i="8"/>
  <c r="B58" i="8"/>
  <c r="B59" i="8"/>
  <c r="B60" i="8"/>
  <c r="B61" i="8"/>
  <c r="B62" i="8"/>
  <c r="B63" i="8"/>
  <c r="B64" i="8"/>
  <c r="B65" i="8"/>
  <c r="B66" i="8"/>
  <c r="B67" i="8"/>
  <c r="B68" i="8"/>
  <c r="B69" i="8"/>
  <c r="B70" i="8"/>
  <c r="B71" i="8"/>
  <c r="B72" i="8"/>
  <c r="B73" i="8"/>
  <c r="B74" i="8"/>
  <c r="B75" i="8"/>
  <c r="B76" i="8"/>
  <c r="B77" i="8"/>
  <c r="B78" i="8"/>
  <c r="B79" i="8"/>
  <c r="B80" i="8"/>
  <c r="B81" i="8"/>
  <c r="B82" i="8"/>
  <c r="B83" i="8"/>
  <c r="B84" i="8"/>
  <c r="B85" i="8"/>
  <c r="B86" i="8"/>
  <c r="B87" i="8"/>
  <c r="B88" i="8"/>
  <c r="B89" i="8"/>
  <c r="B90" i="8"/>
  <c r="B91" i="8"/>
  <c r="B92" i="8"/>
  <c r="B93" i="8"/>
  <c r="B94" i="8"/>
  <c r="B95" i="8"/>
  <c r="B96" i="8"/>
  <c r="B97" i="8"/>
  <c r="B98" i="8"/>
  <c r="B99" i="8"/>
  <c r="B100" i="8"/>
  <c r="B101" i="8"/>
  <c r="B102" i="8"/>
  <c r="B103" i="8"/>
  <c r="B104" i="8"/>
  <c r="B105" i="8"/>
  <c r="B106" i="8"/>
  <c r="B107" i="8"/>
  <c r="B108" i="8"/>
  <c r="B109" i="8"/>
  <c r="B110" i="8"/>
  <c r="B111" i="8"/>
  <c r="B112" i="8"/>
  <c r="B113" i="8"/>
  <c r="B114" i="8"/>
  <c r="B115" i="8"/>
  <c r="B116" i="8"/>
  <c r="B117" i="8"/>
  <c r="B118" i="8"/>
  <c r="B119" i="8"/>
  <c r="B120" i="8"/>
  <c r="B121" i="8"/>
  <c r="B122" i="8"/>
  <c r="B123" i="8"/>
  <c r="B124" i="8"/>
  <c r="B125" i="8"/>
  <c r="B126" i="8"/>
  <c r="B127" i="8"/>
  <c r="B128" i="8"/>
  <c r="B129" i="8"/>
  <c r="B130" i="8"/>
  <c r="B131" i="8"/>
  <c r="B132" i="8"/>
  <c r="B133" i="8"/>
  <c r="B134" i="8"/>
  <c r="B135" i="8"/>
  <c r="B136" i="8"/>
  <c r="B137" i="8"/>
  <c r="B138" i="8"/>
  <c r="B139" i="8"/>
  <c r="B140" i="8"/>
  <c r="B141" i="8"/>
  <c r="B142" i="8"/>
  <c r="B143" i="8"/>
  <c r="B144" i="8"/>
  <c r="B145" i="8"/>
  <c r="B146" i="8"/>
  <c r="B147" i="8"/>
  <c r="B148" i="8"/>
  <c r="B149" i="8"/>
  <c r="B150" i="8"/>
  <c r="B151" i="8"/>
  <c r="B152" i="8"/>
  <c r="B153" i="8"/>
  <c r="B154" i="8"/>
  <c r="B155" i="8"/>
  <c r="B156" i="8"/>
  <c r="B157" i="8"/>
  <c r="B158" i="8"/>
  <c r="B159" i="8"/>
  <c r="B160" i="8"/>
  <c r="B161" i="8"/>
  <c r="B162" i="8"/>
  <c r="B163" i="8"/>
  <c r="B164" i="8"/>
  <c r="B165" i="8"/>
  <c r="B166" i="8"/>
  <c r="B167" i="8"/>
  <c r="B168" i="8"/>
  <c r="B169" i="8"/>
  <c r="B170" i="8"/>
  <c r="B171" i="8"/>
  <c r="B172" i="8"/>
  <c r="B173" i="8"/>
  <c r="B174" i="8"/>
  <c r="B175" i="8"/>
  <c r="B176" i="8"/>
  <c r="B177" i="8"/>
  <c r="B178" i="8"/>
  <c r="B179" i="8"/>
  <c r="B180" i="8"/>
  <c r="B181" i="8"/>
  <c r="B182" i="8"/>
  <c r="B183" i="8"/>
  <c r="B184" i="8"/>
  <c r="B185" i="8"/>
  <c r="B186" i="8"/>
  <c r="B187" i="8"/>
  <c r="B188" i="8"/>
  <c r="B189" i="8"/>
  <c r="B190" i="8"/>
  <c r="A3" i="8"/>
  <c r="A4" i="8"/>
  <c r="A5" i="8"/>
  <c r="A6" i="8"/>
  <c r="A7" i="8"/>
  <c r="A8" i="8"/>
  <c r="A9" i="8"/>
  <c r="A10" i="8"/>
  <c r="A11" i="8"/>
  <c r="A12" i="8"/>
  <c r="A13" i="8"/>
  <c r="A14" i="8"/>
  <c r="A15" i="8"/>
  <c r="A16" i="8"/>
  <c r="A17" i="8"/>
  <c r="A18" i="8"/>
  <c r="A19" i="8"/>
  <c r="A20" i="8"/>
  <c r="A21" i="8"/>
  <c r="A22" i="8"/>
  <c r="A23" i="8"/>
  <c r="A24" i="8"/>
  <c r="A25" i="8"/>
  <c r="A26" i="8"/>
  <c r="A27" i="8"/>
  <c r="A28" i="8"/>
  <c r="A29" i="8"/>
  <c r="A30" i="8"/>
  <c r="A31" i="8"/>
  <c r="A32" i="8"/>
  <c r="A33" i="8"/>
  <c r="A34" i="8"/>
  <c r="A35" i="8"/>
  <c r="A36" i="8"/>
  <c r="A37" i="8"/>
  <c r="A38" i="8"/>
  <c r="A39" i="8"/>
  <c r="A40" i="8"/>
  <c r="A41" i="8"/>
  <c r="A42" i="8"/>
  <c r="A43" i="8"/>
  <c r="A44" i="8"/>
  <c r="A45" i="8"/>
  <c r="A46" i="8"/>
  <c r="A47" i="8"/>
  <c r="A48" i="8"/>
  <c r="A49" i="8"/>
  <c r="A50" i="8"/>
  <c r="A51" i="8"/>
  <c r="A52" i="8"/>
  <c r="A53" i="8"/>
  <c r="A54" i="8"/>
  <c r="A55" i="8"/>
  <c r="A56" i="8"/>
  <c r="A57" i="8"/>
  <c r="A58" i="8"/>
  <c r="A59" i="8"/>
  <c r="A60" i="8"/>
  <c r="A61" i="8"/>
  <c r="A62" i="8"/>
  <c r="A63" i="8"/>
  <c r="A64" i="8"/>
  <c r="A65" i="8"/>
  <c r="A66" i="8"/>
  <c r="A67" i="8"/>
  <c r="A68" i="8"/>
  <c r="A69" i="8"/>
  <c r="A70" i="8"/>
  <c r="A71" i="8"/>
  <c r="A72" i="8"/>
  <c r="A73" i="8"/>
  <c r="A74" i="8"/>
  <c r="A75" i="8"/>
  <c r="A76" i="8"/>
  <c r="A77" i="8"/>
  <c r="A78" i="8"/>
  <c r="A79" i="8"/>
  <c r="A80" i="8"/>
  <c r="A81" i="8"/>
  <c r="A82" i="8"/>
  <c r="A83" i="8"/>
  <c r="A84" i="8"/>
  <c r="A85" i="8"/>
  <c r="A86" i="8"/>
  <c r="A87" i="8"/>
  <c r="A88" i="8"/>
  <c r="A89" i="8"/>
  <c r="A90" i="8"/>
  <c r="A91" i="8"/>
  <c r="A92" i="8"/>
  <c r="A93" i="8"/>
  <c r="A94" i="8"/>
  <c r="A95" i="8"/>
  <c r="A96" i="8"/>
  <c r="A97" i="8"/>
  <c r="A98" i="8"/>
  <c r="A99" i="8"/>
  <c r="A100" i="8"/>
  <c r="A101" i="8"/>
  <c r="A102" i="8"/>
  <c r="A103" i="8"/>
  <c r="A104" i="8"/>
  <c r="A105" i="8"/>
  <c r="A106" i="8"/>
  <c r="A107" i="8"/>
  <c r="A108" i="8"/>
  <c r="A109" i="8"/>
  <c r="A110" i="8"/>
  <c r="A111" i="8"/>
  <c r="A112" i="8"/>
  <c r="A113" i="8"/>
  <c r="A114" i="8"/>
  <c r="A115" i="8"/>
  <c r="A116" i="8"/>
  <c r="A117" i="8"/>
  <c r="A118" i="8"/>
  <c r="A119" i="8"/>
  <c r="A120" i="8"/>
  <c r="A121" i="8"/>
  <c r="A122" i="8"/>
  <c r="A123" i="8"/>
  <c r="A124" i="8"/>
  <c r="A125" i="8"/>
  <c r="A126" i="8"/>
  <c r="A127" i="8"/>
  <c r="A128" i="8"/>
  <c r="A129" i="8"/>
  <c r="A130" i="8"/>
  <c r="A131" i="8"/>
  <c r="A132" i="8"/>
  <c r="A133" i="8"/>
  <c r="A134" i="8"/>
  <c r="A135" i="8"/>
  <c r="A136" i="8"/>
  <c r="A137" i="8"/>
  <c r="A138" i="8"/>
  <c r="A139" i="8"/>
  <c r="A140" i="8"/>
  <c r="A141" i="8"/>
  <c r="A142" i="8"/>
  <c r="A143" i="8"/>
  <c r="A144" i="8"/>
  <c r="A145" i="8"/>
  <c r="A146" i="8"/>
  <c r="A147" i="8"/>
  <c r="A148" i="8"/>
  <c r="A149" i="8"/>
  <c r="A150" i="8"/>
  <c r="A151" i="8"/>
  <c r="A152" i="8"/>
  <c r="A153" i="8"/>
  <c r="A154" i="8"/>
  <c r="A155" i="8"/>
  <c r="A156" i="8"/>
  <c r="A157" i="8"/>
  <c r="A158" i="8"/>
  <c r="A159" i="8"/>
  <c r="A160" i="8"/>
  <c r="A161" i="8"/>
  <c r="A162" i="8"/>
  <c r="A163" i="8"/>
  <c r="A164" i="8"/>
  <c r="A165" i="8"/>
  <c r="A166" i="8"/>
  <c r="A167" i="8"/>
  <c r="A168" i="8"/>
  <c r="A169" i="8"/>
  <c r="A170" i="8"/>
  <c r="A171" i="8"/>
  <c r="A172" i="8"/>
  <c r="A173" i="8"/>
  <c r="A174" i="8"/>
  <c r="A175" i="8"/>
  <c r="A176" i="8"/>
  <c r="A177" i="8"/>
  <c r="A178" i="8"/>
  <c r="A179" i="8"/>
  <c r="A180" i="8"/>
  <c r="A181" i="8"/>
  <c r="A182" i="8"/>
  <c r="A183" i="8"/>
  <c r="A184" i="8"/>
  <c r="A185" i="8"/>
  <c r="A186" i="8"/>
  <c r="A187" i="8"/>
  <c r="A188" i="8"/>
  <c r="A189" i="8"/>
  <c r="A190" i="8"/>
  <c r="A2" i="8"/>
  <c r="AJ3" i="2"/>
  <c r="AJ4" i="2"/>
  <c r="AJ5" i="2"/>
  <c r="AJ6" i="2"/>
  <c r="AJ7" i="2"/>
  <c r="AJ8" i="2"/>
  <c r="AJ9" i="2"/>
  <c r="AJ10" i="2"/>
  <c r="AJ11" i="2"/>
  <c r="AJ12" i="2"/>
  <c r="AJ13" i="2"/>
  <c r="AJ14" i="2"/>
  <c r="AJ15" i="2"/>
  <c r="AJ16" i="2"/>
  <c r="AJ17" i="2"/>
  <c r="AJ18" i="2"/>
  <c r="AJ19" i="2"/>
  <c r="AJ20" i="2"/>
  <c r="AJ21" i="2"/>
  <c r="AJ22" i="2"/>
  <c r="AJ23" i="2"/>
  <c r="AJ24" i="2"/>
  <c r="AJ25" i="2"/>
  <c r="AJ26" i="2"/>
  <c r="AJ27" i="2"/>
  <c r="AJ28" i="2"/>
  <c r="AJ29" i="2"/>
  <c r="AJ30" i="2"/>
  <c r="AJ31" i="2"/>
  <c r="AJ32" i="2"/>
  <c r="AJ33" i="2"/>
  <c r="AJ34" i="2"/>
  <c r="AJ35" i="2"/>
  <c r="AJ36" i="2"/>
  <c r="AJ37" i="2"/>
  <c r="AJ38" i="2"/>
  <c r="AJ39" i="2"/>
  <c r="AJ40" i="2"/>
  <c r="AJ41" i="2"/>
  <c r="AJ42" i="2"/>
  <c r="AJ43" i="2"/>
  <c r="AJ44" i="2"/>
  <c r="AJ45" i="2"/>
  <c r="AJ46" i="2"/>
  <c r="AJ47" i="2"/>
  <c r="AJ48" i="2"/>
  <c r="AJ49" i="2"/>
  <c r="AJ50" i="2"/>
  <c r="AJ51" i="2"/>
  <c r="AJ52" i="2"/>
  <c r="AJ53" i="2"/>
  <c r="AJ54" i="2"/>
  <c r="AJ55" i="2"/>
  <c r="AJ56" i="2"/>
  <c r="AJ57" i="2"/>
  <c r="AJ58" i="2"/>
  <c r="AJ59" i="2"/>
  <c r="AJ60" i="2"/>
  <c r="AJ61" i="2"/>
  <c r="AJ62" i="2"/>
  <c r="AJ63" i="2"/>
  <c r="AJ64" i="2"/>
  <c r="AJ65" i="2"/>
  <c r="AJ66" i="2"/>
  <c r="AJ67" i="2"/>
  <c r="AJ68" i="2"/>
  <c r="AJ69" i="2"/>
  <c r="AJ70" i="2"/>
  <c r="AJ71" i="2"/>
  <c r="AJ72" i="2"/>
  <c r="AJ73" i="2"/>
  <c r="AJ74" i="2"/>
  <c r="AJ75" i="2"/>
  <c r="AJ76" i="2"/>
  <c r="AJ77" i="2"/>
  <c r="AJ78" i="2"/>
  <c r="AJ79" i="2"/>
  <c r="AJ80" i="2"/>
  <c r="AJ81" i="2"/>
  <c r="AJ82" i="2"/>
  <c r="AJ83" i="2"/>
  <c r="AJ84" i="2"/>
  <c r="AJ85" i="2"/>
  <c r="AJ86" i="2"/>
  <c r="AJ87" i="2"/>
  <c r="AJ88" i="2"/>
  <c r="AJ89" i="2"/>
  <c r="AJ90" i="2"/>
  <c r="AJ91" i="2"/>
  <c r="AJ92" i="2"/>
  <c r="AJ93" i="2"/>
  <c r="AJ94" i="2"/>
  <c r="AJ95" i="2"/>
  <c r="AJ96" i="2"/>
  <c r="AJ97" i="2"/>
  <c r="AJ98" i="2"/>
  <c r="AJ99" i="2"/>
  <c r="AJ100" i="2"/>
  <c r="AJ101" i="2"/>
  <c r="AJ102" i="2"/>
  <c r="AJ103" i="2"/>
  <c r="AJ104" i="2"/>
  <c r="AJ105" i="2"/>
  <c r="AJ106" i="2"/>
  <c r="AJ107" i="2"/>
  <c r="AJ108" i="2"/>
  <c r="AJ109" i="2"/>
  <c r="AJ110" i="2"/>
  <c r="AJ111" i="2"/>
  <c r="AJ112" i="2"/>
  <c r="AJ113" i="2"/>
  <c r="AJ114" i="2"/>
  <c r="AJ115" i="2"/>
  <c r="AJ116" i="2"/>
  <c r="AJ117" i="2"/>
  <c r="AJ118" i="2"/>
  <c r="AJ119" i="2"/>
  <c r="AJ120" i="2"/>
  <c r="AJ121" i="2"/>
  <c r="AJ122" i="2"/>
  <c r="AJ123" i="2"/>
  <c r="AJ124" i="2"/>
  <c r="AJ125" i="2"/>
  <c r="AJ126" i="2"/>
  <c r="AJ127" i="2"/>
  <c r="AJ128" i="2"/>
  <c r="AJ129" i="2"/>
  <c r="AJ130" i="2"/>
  <c r="AJ131" i="2"/>
  <c r="AJ132" i="2"/>
  <c r="AJ133" i="2"/>
  <c r="AJ134" i="2"/>
  <c r="AJ135" i="2"/>
  <c r="AJ136" i="2"/>
  <c r="AJ137" i="2"/>
  <c r="AJ138" i="2"/>
  <c r="AJ139" i="2"/>
  <c r="AJ140" i="2"/>
  <c r="AJ141" i="2"/>
  <c r="AJ142" i="2"/>
  <c r="AJ143" i="2"/>
  <c r="AJ144" i="2"/>
  <c r="AJ145" i="2"/>
  <c r="AJ146" i="2"/>
  <c r="AJ147" i="2"/>
  <c r="AJ148" i="2"/>
  <c r="AJ149" i="2"/>
  <c r="AJ150" i="2"/>
  <c r="AJ151" i="2"/>
  <c r="AJ152" i="2"/>
  <c r="AJ153" i="2"/>
  <c r="AJ154" i="2"/>
  <c r="AJ155" i="2"/>
  <c r="AJ156" i="2"/>
  <c r="AJ157" i="2"/>
  <c r="AJ158" i="2"/>
  <c r="AJ159" i="2"/>
  <c r="AJ160" i="2"/>
  <c r="AJ161" i="2"/>
  <c r="AJ162" i="2"/>
  <c r="AJ163" i="2"/>
  <c r="AJ164" i="2"/>
  <c r="AJ165" i="2"/>
  <c r="AJ166" i="2"/>
  <c r="AJ167" i="2"/>
  <c r="AJ168" i="2"/>
  <c r="AJ169" i="2"/>
  <c r="AJ170" i="2"/>
  <c r="AJ171" i="2"/>
  <c r="AJ172" i="2"/>
  <c r="AJ173" i="2"/>
  <c r="AJ174" i="2"/>
  <c r="AJ175" i="2"/>
  <c r="AJ176" i="2"/>
  <c r="AJ177" i="2"/>
  <c r="AJ178" i="2"/>
  <c r="AJ179" i="2"/>
  <c r="AJ180" i="2"/>
  <c r="AJ181" i="2"/>
  <c r="AJ182" i="2"/>
  <c r="AJ183" i="2"/>
  <c r="AJ184" i="2"/>
  <c r="AJ185" i="2"/>
  <c r="AJ186" i="2"/>
  <c r="AJ187" i="2"/>
  <c r="AJ188" i="2"/>
  <c r="AJ189" i="2"/>
  <c r="AJ190" i="2"/>
  <c r="AJ191" i="2"/>
  <c r="AJ192" i="2"/>
  <c r="AJ193" i="2"/>
  <c r="AJ194" i="2"/>
  <c r="AJ195" i="2"/>
  <c r="AJ196" i="2"/>
  <c r="AJ197" i="2"/>
  <c r="AJ198" i="2"/>
  <c r="AJ199" i="2"/>
  <c r="AJ200" i="2"/>
  <c r="AJ201" i="2"/>
  <c r="AJ202" i="2"/>
  <c r="AJ203" i="2"/>
  <c r="AJ204" i="2"/>
  <c r="AJ205" i="2"/>
  <c r="AJ206" i="2"/>
  <c r="AJ207" i="2"/>
  <c r="AJ208" i="2"/>
  <c r="AJ209" i="2"/>
  <c r="AJ2" i="2"/>
  <c r="A3" i="5"/>
  <c r="A4" i="5"/>
  <c r="A5" i="5"/>
  <c r="A6" i="5"/>
  <c r="A7" i="5"/>
  <c r="A8" i="5"/>
  <c r="A9" i="5"/>
  <c r="A10" i="5"/>
  <c r="A11" i="5"/>
  <c r="A12" i="5"/>
  <c r="A13" i="5"/>
  <c r="A14" i="5"/>
  <c r="A15" i="5"/>
  <c r="A16" i="5"/>
  <c r="A17" i="5"/>
  <c r="A18" i="5"/>
  <c r="A19" i="5"/>
  <c r="A20" i="5"/>
  <c r="A21" i="5"/>
  <c r="A22" i="5"/>
  <c r="A23" i="5"/>
  <c r="A24" i="5"/>
  <c r="A25" i="5"/>
  <c r="A26" i="5"/>
  <c r="A27" i="5"/>
  <c r="A28" i="5"/>
  <c r="A29" i="5"/>
  <c r="A30" i="5"/>
  <c r="A31" i="5"/>
  <c r="A32" i="5"/>
  <c r="A33" i="5"/>
  <c r="A34" i="5"/>
  <c r="A35" i="5"/>
  <c r="A36" i="5"/>
  <c r="A37" i="5"/>
  <c r="A38" i="5"/>
  <c r="A39" i="5"/>
  <c r="A40" i="5"/>
  <c r="A41" i="5"/>
  <c r="A42" i="5"/>
  <c r="A43" i="5"/>
  <c r="A44" i="5"/>
  <c r="A45" i="5"/>
  <c r="A46" i="5"/>
  <c r="A47" i="5"/>
  <c r="A48" i="5"/>
  <c r="A49" i="5"/>
  <c r="A50" i="5"/>
  <c r="A51" i="5"/>
  <c r="A52" i="5"/>
  <c r="A53" i="5"/>
  <c r="A54" i="5"/>
  <c r="A55" i="5"/>
  <c r="A56" i="5"/>
  <c r="A57" i="5"/>
  <c r="A58" i="5"/>
  <c r="A59" i="5"/>
  <c r="A60" i="5"/>
  <c r="A61" i="5"/>
  <c r="A62" i="5"/>
  <c r="A63" i="5"/>
  <c r="A64" i="5"/>
  <c r="A65" i="5"/>
  <c r="A66" i="5"/>
  <c r="A67" i="5"/>
  <c r="A68" i="5"/>
  <c r="A69" i="5"/>
  <c r="A70" i="5"/>
  <c r="A71" i="5"/>
  <c r="A72" i="5"/>
  <c r="A73" i="5"/>
  <c r="A74" i="5"/>
  <c r="A75" i="5"/>
  <c r="A76" i="5"/>
  <c r="A77" i="5"/>
  <c r="A78" i="5"/>
  <c r="A79" i="5"/>
  <c r="A80" i="5"/>
  <c r="A81" i="5"/>
  <c r="A82" i="5"/>
  <c r="A83" i="5"/>
  <c r="A84" i="5"/>
  <c r="A85" i="5"/>
  <c r="A86" i="5"/>
  <c r="A87" i="5"/>
  <c r="A88" i="5"/>
  <c r="A89" i="5"/>
  <c r="A90" i="5"/>
  <c r="A91" i="5"/>
  <c r="A92" i="5"/>
  <c r="A93" i="5"/>
  <c r="A94" i="5"/>
  <c r="A95" i="5"/>
  <c r="A96" i="5"/>
  <c r="A97" i="5"/>
  <c r="A98" i="5"/>
  <c r="A99" i="5"/>
  <c r="A100" i="5"/>
  <c r="A101" i="5"/>
  <c r="A102" i="5"/>
  <c r="A103" i="5"/>
  <c r="A104" i="5"/>
  <c r="A105" i="5"/>
  <c r="A106" i="5"/>
  <c r="A107" i="5"/>
  <c r="A108" i="5"/>
  <c r="A109" i="5"/>
  <c r="A110" i="5"/>
  <c r="A111" i="5"/>
  <c r="A112" i="5"/>
  <c r="A113" i="5"/>
  <c r="A114" i="5"/>
  <c r="A115" i="5"/>
  <c r="A116" i="5"/>
  <c r="A117" i="5"/>
  <c r="A118" i="5"/>
  <c r="A119" i="5"/>
  <c r="A120" i="5"/>
  <c r="A121" i="5"/>
  <c r="A122" i="5"/>
  <c r="A123" i="5"/>
  <c r="A124" i="5"/>
  <c r="A125" i="5"/>
  <c r="A126" i="5"/>
  <c r="A127" i="5"/>
  <c r="A128" i="5"/>
  <c r="A129" i="5"/>
  <c r="A130" i="5"/>
  <c r="A131" i="5"/>
  <c r="A132" i="5"/>
  <c r="A133" i="5"/>
  <c r="A134" i="5"/>
  <c r="A135" i="5"/>
  <c r="A136" i="5"/>
  <c r="A137" i="5"/>
  <c r="A138" i="5"/>
  <c r="A139" i="5"/>
  <c r="A140" i="5"/>
  <c r="A141" i="5"/>
  <c r="A142" i="5"/>
  <c r="A143" i="5"/>
  <c r="A144" i="5"/>
  <c r="A145" i="5"/>
  <c r="A146" i="5"/>
  <c r="A147" i="5"/>
  <c r="A148" i="5"/>
  <c r="A149" i="5"/>
  <c r="A150" i="5"/>
  <c r="A151" i="5"/>
  <c r="A152" i="5"/>
  <c r="A153" i="5"/>
  <c r="A154" i="5"/>
  <c r="A155" i="5"/>
  <c r="A156" i="5"/>
  <c r="A157" i="5"/>
  <c r="A158" i="5"/>
  <c r="A159" i="5"/>
  <c r="A160" i="5"/>
  <c r="A161" i="5"/>
  <c r="A162" i="5"/>
  <c r="A163" i="5"/>
  <c r="A164" i="5"/>
  <c r="A165" i="5"/>
  <c r="A166" i="5"/>
  <c r="A167" i="5"/>
  <c r="A168" i="5"/>
  <c r="A169" i="5"/>
  <c r="A170" i="5"/>
  <c r="A171" i="5"/>
  <c r="A172" i="5"/>
  <c r="A173" i="5"/>
  <c r="A174" i="5"/>
  <c r="A175" i="5"/>
  <c r="A176" i="5"/>
  <c r="A177" i="5"/>
  <c r="A178" i="5"/>
  <c r="A179" i="5"/>
  <c r="A180" i="5"/>
  <c r="A181" i="5"/>
  <c r="A182" i="5"/>
  <c r="A183" i="5"/>
  <c r="A184" i="5"/>
  <c r="A185" i="5"/>
  <c r="A186" i="5"/>
  <c r="A187" i="5"/>
  <c r="A188" i="5"/>
  <c r="A189" i="5"/>
  <c r="A190" i="5"/>
  <c r="A2" i="5"/>
  <c r="Y3" i="2"/>
  <c r="Y4" i="2"/>
  <c r="Y5" i="2"/>
  <c r="Y6" i="2"/>
  <c r="Y7" i="2"/>
  <c r="Y8" i="2"/>
  <c r="Y9" i="2"/>
  <c r="Y10" i="2"/>
  <c r="Y11" i="2"/>
  <c r="Y12" i="2"/>
  <c r="Y13" i="2"/>
  <c r="Y14" i="2"/>
  <c r="Y15" i="2"/>
  <c r="Y16" i="2"/>
  <c r="Y17" i="2"/>
  <c r="Y18" i="2"/>
  <c r="Y19" i="2"/>
  <c r="Y20" i="2"/>
  <c r="Y21" i="2"/>
  <c r="Y22" i="2"/>
  <c r="Y23" i="2"/>
  <c r="Y24" i="2"/>
  <c r="Y25" i="2"/>
  <c r="Y26" i="2"/>
  <c r="Y2" i="2"/>
  <c r="A3" i="3"/>
  <c r="A4" i="3"/>
  <c r="A5" i="3"/>
  <c r="A6" i="3"/>
  <c r="A7" i="3"/>
  <c r="A8" i="3"/>
  <c r="A9" i="3"/>
  <c r="A10" i="3"/>
  <c r="A11" i="3"/>
  <c r="A12" i="3"/>
  <c r="A13" i="3"/>
  <c r="A14" i="3"/>
  <c r="A15" i="3"/>
  <c r="A16" i="3"/>
  <c r="A17" i="3"/>
  <c r="A18" i="3"/>
  <c r="A19" i="3"/>
  <c r="A20" i="3"/>
  <c r="A21" i="3"/>
  <c r="A22" i="3"/>
  <c r="A23" i="3"/>
  <c r="A24" i="3"/>
  <c r="A25" i="3"/>
  <c r="A26" i="3"/>
  <c r="A27" i="3"/>
  <c r="A28" i="3"/>
  <c r="A29" i="3"/>
  <c r="A30" i="3"/>
  <c r="A31" i="3"/>
  <c r="A32" i="3"/>
  <c r="A33" i="3"/>
  <c r="A34" i="3"/>
  <c r="A35" i="3"/>
  <c r="A36" i="3"/>
  <c r="A37" i="3"/>
  <c r="A38" i="3"/>
  <c r="A39" i="3"/>
  <c r="A40" i="3"/>
  <c r="A41" i="3"/>
  <c r="A42" i="3"/>
  <c r="A43" i="3"/>
  <c r="A44" i="3"/>
  <c r="A45" i="3"/>
  <c r="A46" i="3"/>
  <c r="A47" i="3"/>
  <c r="A48" i="3"/>
  <c r="A49" i="3"/>
  <c r="A50" i="3"/>
  <c r="A51" i="3"/>
  <c r="A52" i="3"/>
  <c r="A53" i="3"/>
  <c r="A54" i="3"/>
  <c r="A55" i="3"/>
  <c r="A56" i="3"/>
  <c r="A57" i="3"/>
  <c r="A58" i="3"/>
  <c r="A59" i="3"/>
  <c r="A60" i="3"/>
  <c r="A61" i="3"/>
  <c r="A62" i="3"/>
  <c r="A63" i="3"/>
  <c r="A64" i="3"/>
  <c r="A65" i="3"/>
  <c r="A66" i="3"/>
  <c r="A67" i="3"/>
  <c r="A68" i="3"/>
  <c r="A69" i="3"/>
  <c r="A70" i="3"/>
  <c r="A71" i="3"/>
  <c r="A72" i="3"/>
  <c r="A73" i="3"/>
  <c r="A74" i="3"/>
  <c r="A75" i="3"/>
  <c r="A76" i="3"/>
  <c r="A77" i="3"/>
  <c r="A78" i="3"/>
  <c r="A79" i="3"/>
  <c r="A80" i="3"/>
  <c r="A81" i="3"/>
  <c r="A82" i="3"/>
  <c r="A83" i="3"/>
  <c r="A84" i="3"/>
  <c r="A85" i="3"/>
  <c r="A86" i="3"/>
  <c r="A87" i="3"/>
  <c r="A88" i="3"/>
  <c r="A89" i="3"/>
  <c r="A90" i="3"/>
  <c r="A91" i="3"/>
  <c r="A92" i="3"/>
  <c r="A93" i="3"/>
  <c r="A94" i="3"/>
  <c r="A95" i="3"/>
  <c r="A96" i="3"/>
  <c r="A97" i="3"/>
  <c r="A98" i="3"/>
  <c r="A99" i="3"/>
  <c r="A100" i="3"/>
  <c r="A101" i="3"/>
  <c r="A102" i="3"/>
  <c r="A103" i="3"/>
  <c r="A104" i="3"/>
  <c r="A105" i="3"/>
  <c r="A106" i="3"/>
  <c r="A107" i="3"/>
  <c r="A108" i="3"/>
  <c r="A109" i="3"/>
  <c r="A110" i="3"/>
  <c r="A111" i="3"/>
  <c r="A112" i="3"/>
  <c r="A113" i="3"/>
  <c r="A114" i="3"/>
  <c r="A115" i="3"/>
  <c r="A116" i="3"/>
  <c r="A117" i="3"/>
  <c r="A118" i="3"/>
  <c r="A119" i="3"/>
  <c r="A120" i="3"/>
  <c r="A121" i="3"/>
  <c r="A122" i="3"/>
  <c r="A123" i="3"/>
  <c r="A124" i="3"/>
  <c r="A125" i="3"/>
  <c r="A126" i="3"/>
  <c r="A127" i="3"/>
  <c r="A128" i="3"/>
  <c r="A129" i="3"/>
  <c r="A130" i="3"/>
  <c r="A131" i="3"/>
  <c r="A132" i="3"/>
  <c r="A133" i="3"/>
  <c r="A134" i="3"/>
  <c r="A135" i="3"/>
  <c r="A136" i="3"/>
  <c r="A137" i="3"/>
  <c r="A138" i="3"/>
  <c r="A139" i="3"/>
  <c r="A140" i="3"/>
  <c r="A141" i="3"/>
  <c r="A142" i="3"/>
  <c r="A143" i="3"/>
  <c r="A144" i="3"/>
  <c r="A145" i="3"/>
  <c r="A146" i="3"/>
  <c r="A147" i="3"/>
  <c r="A148" i="3"/>
  <c r="A149" i="3"/>
  <c r="A150" i="3"/>
  <c r="A151" i="3"/>
  <c r="A152" i="3"/>
  <c r="A153" i="3"/>
  <c r="A154" i="3"/>
  <c r="A155" i="3"/>
  <c r="A156" i="3"/>
  <c r="A157" i="3"/>
  <c r="A158" i="3"/>
  <c r="A159" i="3"/>
  <c r="A160" i="3"/>
  <c r="A161" i="3"/>
  <c r="A162" i="3"/>
  <c r="A163" i="3"/>
  <c r="A164" i="3"/>
  <c r="A165" i="3"/>
  <c r="A166" i="3"/>
  <c r="A167" i="3"/>
  <c r="A168" i="3"/>
  <c r="A169" i="3"/>
  <c r="A170" i="3"/>
  <c r="A171" i="3"/>
  <c r="A172" i="3"/>
  <c r="A173" i="3"/>
  <c r="A174" i="3"/>
  <c r="A175" i="3"/>
  <c r="A176" i="3"/>
  <c r="A177" i="3"/>
  <c r="A178" i="3"/>
  <c r="A179" i="3"/>
  <c r="A180" i="3"/>
  <c r="A181" i="3"/>
  <c r="A182" i="3"/>
  <c r="A183" i="3"/>
  <c r="A184" i="3"/>
  <c r="A185" i="3"/>
  <c r="A186" i="3"/>
  <c r="A187" i="3"/>
  <c r="A188" i="3"/>
  <c r="A189" i="3"/>
  <c r="A190" i="3"/>
  <c r="A2" i="3"/>
  <c r="H3" i="10" l="1"/>
  <c r="G3" i="9"/>
  <c r="P3" i="9"/>
  <c r="L2" i="9"/>
  <c r="F3" i="9"/>
  <c r="K2" i="9"/>
</calcChain>
</file>

<file path=xl/sharedStrings.xml><?xml version="1.0" encoding="utf-8"?>
<sst xmlns="http://schemas.openxmlformats.org/spreadsheetml/2006/main" count="2817" uniqueCount="1027">
  <si>
    <t>City</t>
  </si>
  <si>
    <t>Nation</t>
  </si>
  <si>
    <t>Kanpur</t>
  </si>
  <si>
    <t>India</t>
  </si>
  <si>
    <t>Chongqing</t>
  </si>
  <si>
    <t>China</t>
  </si>
  <si>
    <t>Patna</t>
  </si>
  <si>
    <t>New York City</t>
  </si>
  <si>
    <t>USA</t>
  </si>
  <si>
    <t>Toronto</t>
  </si>
  <si>
    <t>Canada</t>
  </si>
  <si>
    <t>Mumbai</t>
  </si>
  <si>
    <t>Jakarta</t>
  </si>
  <si>
    <t>Indonesia</t>
  </si>
  <si>
    <t>Kolkata</t>
  </si>
  <si>
    <t>Lagos</t>
  </si>
  <si>
    <t>Nigeria</t>
  </si>
  <si>
    <t>Indore</t>
  </si>
  <si>
    <t>Sao Paulo</t>
  </si>
  <si>
    <t>Brazil</t>
  </si>
  <si>
    <t>Sydney</t>
  </si>
  <si>
    <t>Australia</t>
  </si>
  <si>
    <t>Jaipur</t>
  </si>
  <si>
    <t>Dhaka</t>
  </si>
  <si>
    <t>Bangladesh</t>
  </si>
  <si>
    <t>Chennai</t>
  </si>
  <si>
    <t>Moscow</t>
  </si>
  <si>
    <t>Russia</t>
  </si>
  <si>
    <t>Amsterdam</t>
  </si>
  <si>
    <t>Netherlands</t>
  </si>
  <si>
    <t>Ahmedabad</t>
  </si>
  <si>
    <t>Addis Ababa</t>
  </si>
  <si>
    <t>Ethiopia</t>
  </si>
  <si>
    <t>Bengaluru</t>
  </si>
  <si>
    <t>Mexico City</t>
  </si>
  <si>
    <t>Mexico</t>
  </si>
  <si>
    <t>Dubai</t>
  </si>
  <si>
    <t>UAE</t>
  </si>
  <si>
    <t>Visakhapatnam</t>
  </si>
  <si>
    <t>Tokyo</t>
  </si>
  <si>
    <t>Japan</t>
  </si>
  <si>
    <t>Bhubaneshwar</t>
  </si>
  <si>
    <t>Cairo</t>
  </si>
  <si>
    <t>Egypt</t>
  </si>
  <si>
    <t>Zurich</t>
  </si>
  <si>
    <t>Switzerland</t>
  </si>
  <si>
    <t>Hyderabad</t>
  </si>
  <si>
    <t>Quezon City</t>
  </si>
  <si>
    <t>Philippines</t>
  </si>
  <si>
    <t>Thiruvananthapuram</t>
  </si>
  <si>
    <t>Kinshasa</t>
  </si>
  <si>
    <t>DR Congo</t>
  </si>
  <si>
    <t>Brussels</t>
  </si>
  <si>
    <t>Belgium</t>
  </si>
  <si>
    <t>Jamshedpur</t>
  </si>
  <si>
    <t>Ho Chi Minh City</t>
  </si>
  <si>
    <t>Vietnam</t>
  </si>
  <si>
    <t>Guwahati</t>
  </si>
  <si>
    <t>Tehran</t>
  </si>
  <si>
    <t>Iran</t>
  </si>
  <si>
    <t>Jerusalem</t>
  </si>
  <si>
    <t>Israel</t>
  </si>
  <si>
    <t>Ludhiana</t>
  </si>
  <si>
    <t>Istanbul</t>
  </si>
  <si>
    <t>Turkey</t>
  </si>
  <si>
    <t>Raipur</t>
  </si>
  <si>
    <t>Berlin</t>
  </si>
  <si>
    <t>Germany</t>
  </si>
  <si>
    <t>Auckland</t>
  </si>
  <si>
    <t>New Zealand</t>
  </si>
  <si>
    <t>Faridabad</t>
  </si>
  <si>
    <t>Karachi</t>
  </si>
  <si>
    <t>Pakistan</t>
  </si>
  <si>
    <t>Delhi</t>
  </si>
  <si>
    <t>Dar es Salaam</t>
  </si>
  <si>
    <t>Tanzania</t>
  </si>
  <si>
    <t>Jeddah</t>
  </si>
  <si>
    <t>Saudi Arabia</t>
  </si>
  <si>
    <t>Srinagar</t>
  </si>
  <si>
    <t>Bangkok</t>
  </si>
  <si>
    <t>Thailand</t>
  </si>
  <si>
    <t>Dehradun</t>
  </si>
  <si>
    <t>London</t>
  </si>
  <si>
    <t>UK</t>
  </si>
  <si>
    <t>Shimla</t>
  </si>
  <si>
    <t>Paris</t>
  </si>
  <si>
    <t>France</t>
  </si>
  <si>
    <t>Agartala</t>
  </si>
  <si>
    <t>Johannesburg</t>
  </si>
  <si>
    <t>South Africa</t>
  </si>
  <si>
    <t>Shillong</t>
  </si>
  <si>
    <t>Rome</t>
  </si>
  <si>
    <t>Italy</t>
  </si>
  <si>
    <t>Imphal</t>
  </si>
  <si>
    <t>Nairobi</t>
  </si>
  <si>
    <t>Kenya</t>
  </si>
  <si>
    <t>Dimapur</t>
  </si>
  <si>
    <t>Yangon</t>
  </si>
  <si>
    <t>Myanmar</t>
  </si>
  <si>
    <t>Vasco da Gama</t>
  </si>
  <si>
    <t>Bogota</t>
  </si>
  <si>
    <t>Colombia</t>
  </si>
  <si>
    <t>Itanagar</t>
  </si>
  <si>
    <t>Khartoum</t>
  </si>
  <si>
    <t>Sudan</t>
  </si>
  <si>
    <t>Puducherry</t>
  </si>
  <si>
    <t>Kampala</t>
  </si>
  <si>
    <t>Uganda</t>
  </si>
  <si>
    <t>Aizwal</t>
  </si>
  <si>
    <t>Chandigarh</t>
  </si>
  <si>
    <t>Seoul</t>
  </si>
  <si>
    <t>South Korea</t>
  </si>
  <si>
    <t>Gangtok</t>
  </si>
  <si>
    <t>Algiers</t>
  </si>
  <si>
    <t>Algeria</t>
  </si>
  <si>
    <t>Silvassa</t>
  </si>
  <si>
    <t>Buenos Aires</t>
  </si>
  <si>
    <t>Argentina</t>
  </si>
  <si>
    <t>Sri Vijaya Puram</t>
  </si>
  <si>
    <t>Kabul</t>
  </si>
  <si>
    <t>Afghanistan</t>
  </si>
  <si>
    <t>Leh</t>
  </si>
  <si>
    <t>Sanaa</t>
  </si>
  <si>
    <t>Yemen</t>
  </si>
  <si>
    <t>Kavaratti</t>
  </si>
  <si>
    <t>Lucknow</t>
  </si>
  <si>
    <t>Shanghai</t>
  </si>
  <si>
    <t>Gaya</t>
  </si>
  <si>
    <t>Los Angeles</t>
  </si>
  <si>
    <t>Montreal</t>
  </si>
  <si>
    <t>Pune</t>
  </si>
  <si>
    <t>Surabaya</t>
  </si>
  <si>
    <t>Asansol</t>
  </si>
  <si>
    <t>Kano</t>
  </si>
  <si>
    <t>Bhopal</t>
  </si>
  <si>
    <t>Rio de Janeiro</t>
  </si>
  <si>
    <t>Melbourne</t>
  </si>
  <si>
    <t>Jodhpur</t>
  </si>
  <si>
    <t>Chattogram</t>
  </si>
  <si>
    <t>Coimbatore</t>
  </si>
  <si>
    <t>Saint Petersburg</t>
  </si>
  <si>
    <t>Rotterdam</t>
  </si>
  <si>
    <t>Surat</t>
  </si>
  <si>
    <t>Adama</t>
  </si>
  <si>
    <t>Hubballi - Dharwad</t>
  </si>
  <si>
    <t>Guadalajara</t>
  </si>
  <si>
    <t>Abu Dhabi</t>
  </si>
  <si>
    <t>Vijayawada</t>
  </si>
  <si>
    <t>Yokohama</t>
  </si>
  <si>
    <t>Cuttack</t>
  </si>
  <si>
    <t>Alexandria</t>
  </si>
  <si>
    <t>Geneva</t>
  </si>
  <si>
    <t>Warangal</t>
  </si>
  <si>
    <t>Davao City</t>
  </si>
  <si>
    <t>Kochi</t>
  </si>
  <si>
    <t>Lubumbashi</t>
  </si>
  <si>
    <t>Antwerp</t>
  </si>
  <si>
    <t>Dhanbad</t>
  </si>
  <si>
    <t>Hanoi</t>
  </si>
  <si>
    <t>Silchar</t>
  </si>
  <si>
    <t>Mashhad</t>
  </si>
  <si>
    <t>Tel Aviv</t>
  </si>
  <si>
    <t>Amritsar</t>
  </si>
  <si>
    <t>Ankara</t>
  </si>
  <si>
    <t>Bhilai - Durg</t>
  </si>
  <si>
    <t>Hamburg</t>
  </si>
  <si>
    <t>Christchurch</t>
  </si>
  <si>
    <t>Gurugram</t>
  </si>
  <si>
    <t>Mwanza</t>
  </si>
  <si>
    <t>Mecca</t>
  </si>
  <si>
    <t>Jammu</t>
  </si>
  <si>
    <t>Nakhon Ratchasima</t>
  </si>
  <si>
    <t>Haridwar</t>
  </si>
  <si>
    <t>Birmingham</t>
  </si>
  <si>
    <t>Dharamshala</t>
  </si>
  <si>
    <t>Marseille</t>
  </si>
  <si>
    <t>Dharmanagar</t>
  </si>
  <si>
    <t>Cape Town</t>
  </si>
  <si>
    <t>Tura</t>
  </si>
  <si>
    <t>Milan</t>
  </si>
  <si>
    <t>Churachandpur</t>
  </si>
  <si>
    <t>Mombasa</t>
  </si>
  <si>
    <t>Kohima</t>
  </si>
  <si>
    <t>Mandalay</t>
  </si>
  <si>
    <t>Madgaon</t>
  </si>
  <si>
    <t>Medellin</t>
  </si>
  <si>
    <t>Naharlagun</t>
  </si>
  <si>
    <t>Mbale City</t>
  </si>
  <si>
    <t>Lunglei</t>
  </si>
  <si>
    <t>Busan</t>
  </si>
  <si>
    <t>Namchi</t>
  </si>
  <si>
    <t>Oran</t>
  </si>
  <si>
    <t>Dadhel</t>
  </si>
  <si>
    <t>Cordoba</t>
  </si>
  <si>
    <t>Garacharma</t>
  </si>
  <si>
    <t>Kandahar</t>
  </si>
  <si>
    <t>Kargil</t>
  </si>
  <si>
    <t>Ghaziabad</t>
  </si>
  <si>
    <t>Beijing</t>
  </si>
  <si>
    <t>Bhagalpur</t>
  </si>
  <si>
    <t>Chicago</t>
  </si>
  <si>
    <t>Calgary</t>
  </si>
  <si>
    <t>Nagpur</t>
  </si>
  <si>
    <t>Bekasi</t>
  </si>
  <si>
    <t>Siliguri</t>
  </si>
  <si>
    <t>Ibadan</t>
  </si>
  <si>
    <t>Jabalpur</t>
  </si>
  <si>
    <t>Brasilia</t>
  </si>
  <si>
    <t>Brisbane</t>
  </si>
  <si>
    <t>Kota</t>
  </si>
  <si>
    <t>Savar</t>
  </si>
  <si>
    <t>Madurai</t>
  </si>
  <si>
    <t>Novosibirsk</t>
  </si>
  <si>
    <t>The Hague</t>
  </si>
  <si>
    <t>Vadodara</t>
  </si>
  <si>
    <t>Bahir Dar</t>
  </si>
  <si>
    <t>Mysuru</t>
  </si>
  <si>
    <t>Monterrey</t>
  </si>
  <si>
    <t>Sharjah</t>
  </si>
  <si>
    <t>Guntur</t>
  </si>
  <si>
    <t>Osaka</t>
  </si>
  <si>
    <t>Rourkela</t>
  </si>
  <si>
    <t>Luxor</t>
  </si>
  <si>
    <t>Basel</t>
  </si>
  <si>
    <t>Nizamabad</t>
  </si>
  <si>
    <t>Manila</t>
  </si>
  <si>
    <t>Kozhikode</t>
  </si>
  <si>
    <t>Kananga</t>
  </si>
  <si>
    <t>Stockholm</t>
  </si>
  <si>
    <t>Sweden</t>
  </si>
  <si>
    <t>Ranchi</t>
  </si>
  <si>
    <t>Hai Phong</t>
  </si>
  <si>
    <t>Dibrugarh</t>
  </si>
  <si>
    <t>Isfahan</t>
  </si>
  <si>
    <t>Copenhagen</t>
  </si>
  <si>
    <t>Denmark</t>
  </si>
  <si>
    <t>Jalandhar</t>
  </si>
  <si>
    <t>Izmir</t>
  </si>
  <si>
    <t>Korba</t>
  </si>
  <si>
    <t>Munich</t>
  </si>
  <si>
    <t>Wellington</t>
  </si>
  <si>
    <t>Rohtak</t>
  </si>
  <si>
    <t>Dodoma</t>
  </si>
  <si>
    <t>Medina</t>
  </si>
  <si>
    <t>Anantnag</t>
  </si>
  <si>
    <t>Ubon Ratchathani</t>
  </si>
  <si>
    <t>Roorkee</t>
  </si>
  <si>
    <t>Manchester</t>
  </si>
  <si>
    <t>Mandi</t>
  </si>
  <si>
    <t>Lyon</t>
  </si>
  <si>
    <t>Udaipur</t>
  </si>
  <si>
    <t>Durban</t>
  </si>
  <si>
    <t>Nongstoin</t>
  </si>
  <si>
    <t>Naples</t>
  </si>
  <si>
    <t>Thoubal</t>
  </si>
  <si>
    <t>Nakuru</t>
  </si>
  <si>
    <t>Chumoukedima</t>
  </si>
  <si>
    <t>Naypyidaw</t>
  </si>
  <si>
    <t>Panjim</t>
  </si>
  <si>
    <t>Cali</t>
  </si>
  <si>
    <t>Pasighat</t>
  </si>
  <si>
    <t>Bukalasi</t>
  </si>
  <si>
    <t>Champhai</t>
  </si>
  <si>
    <t>Incheon</t>
  </si>
  <si>
    <t>Rangpo</t>
  </si>
  <si>
    <t>Baghdad</t>
  </si>
  <si>
    <t>Iraq</t>
  </si>
  <si>
    <t>Naroli</t>
  </si>
  <si>
    <t>Madrid</t>
  </si>
  <si>
    <t>Spain</t>
  </si>
  <si>
    <t>Daman</t>
  </si>
  <si>
    <t>Rosario</t>
  </si>
  <si>
    <t>Prothrapur</t>
  </si>
  <si>
    <t>Herat</t>
  </si>
  <si>
    <t>Choglamsar</t>
  </si>
  <si>
    <t>Agra</t>
  </si>
  <si>
    <t>Chengdu</t>
  </si>
  <si>
    <t>Muzaffarpur</t>
  </si>
  <si>
    <t>Houston</t>
  </si>
  <si>
    <t>Ottawa</t>
  </si>
  <si>
    <t>Thane</t>
  </si>
  <si>
    <t>Bandung</t>
  </si>
  <si>
    <t>Durgapur</t>
  </si>
  <si>
    <t>Abuja</t>
  </si>
  <si>
    <t>Gwalior</t>
  </si>
  <si>
    <t>Fortaleza</t>
  </si>
  <si>
    <t>Perth</t>
  </si>
  <si>
    <t>Bikaner</t>
  </si>
  <si>
    <t>Brahmanbaria</t>
  </si>
  <si>
    <t>Tiruchirappalli</t>
  </si>
  <si>
    <t>Yekaterinburg</t>
  </si>
  <si>
    <t>Utrecht</t>
  </si>
  <si>
    <t>Rajkot</t>
  </si>
  <si>
    <t>Dire Dawa</t>
  </si>
  <si>
    <t>Mangaluru</t>
  </si>
  <si>
    <t>Puebla</t>
  </si>
  <si>
    <t>Al Ain</t>
  </si>
  <si>
    <t>Nellore</t>
  </si>
  <si>
    <t>Nagoya</t>
  </si>
  <si>
    <t>Brahmapur</t>
  </si>
  <si>
    <t>Giza</t>
  </si>
  <si>
    <t>Lausanne</t>
  </si>
  <si>
    <t>Karimnagar</t>
  </si>
  <si>
    <t>Caloocan</t>
  </si>
  <si>
    <t>Kollam</t>
  </si>
  <si>
    <t>Mbuji-Mayi</t>
  </si>
  <si>
    <t>Athens</t>
  </si>
  <si>
    <t>Greece</t>
  </si>
  <si>
    <t>Bokaro Steel City</t>
  </si>
  <si>
    <t>Da Nang</t>
  </si>
  <si>
    <t>Jorhat</t>
  </si>
  <si>
    <t>Karaj</t>
  </si>
  <si>
    <t>Oslo</t>
  </si>
  <si>
    <t>Norway</t>
  </si>
  <si>
    <t>Patiala</t>
  </si>
  <si>
    <t>Bursa</t>
  </si>
  <si>
    <t>Bilaspur</t>
  </si>
  <si>
    <t>Cologne</t>
  </si>
  <si>
    <t>Hamilton</t>
  </si>
  <si>
    <t>Hisar</t>
  </si>
  <si>
    <t>Zanzibar City</t>
  </si>
  <si>
    <t>Udhampur</t>
  </si>
  <si>
    <t>Khon Kaen</t>
  </si>
  <si>
    <t>Haldwani - Kathgodam</t>
  </si>
  <si>
    <t>Liverpool</t>
  </si>
  <si>
    <t>Solan</t>
  </si>
  <si>
    <t>Toulouse</t>
  </si>
  <si>
    <t>Kailashahar</t>
  </si>
  <si>
    <t>Pretoria</t>
  </si>
  <si>
    <t>Jowai</t>
  </si>
  <si>
    <t>Turin</t>
  </si>
  <si>
    <t>Kakching</t>
  </si>
  <si>
    <t>Kisumu</t>
  </si>
  <si>
    <t>Mokokchung</t>
  </si>
  <si>
    <t>Bago</t>
  </si>
  <si>
    <t>Mapusa</t>
  </si>
  <si>
    <t>Barranquilla</t>
  </si>
  <si>
    <t>Aalo</t>
  </si>
  <si>
    <t>Jinja</t>
  </si>
  <si>
    <t>Saiha</t>
  </si>
  <si>
    <t>Daegu</t>
  </si>
  <si>
    <t>Jorethang</t>
  </si>
  <si>
    <t>Basra</t>
  </si>
  <si>
    <t>Dadra</t>
  </si>
  <si>
    <t>Barcelona</t>
  </si>
  <si>
    <t>Diu</t>
  </si>
  <si>
    <t>Mendoza</t>
  </si>
  <si>
    <t>Bambooflat</t>
  </si>
  <si>
    <t>Mazar-i-Sharif</t>
  </si>
  <si>
    <t>Spituk</t>
  </si>
  <si>
    <t>Varanasi</t>
  </si>
  <si>
    <t>Guangzhou</t>
  </si>
  <si>
    <t>Bihar Sharif</t>
  </si>
  <si>
    <t>Phoenix</t>
  </si>
  <si>
    <t>Edmonton</t>
  </si>
  <si>
    <t>Chhatrapati Sambhajinagar</t>
  </si>
  <si>
    <t>Medan</t>
  </si>
  <si>
    <t>Bardhman</t>
  </si>
  <si>
    <t>Port Harcourt</t>
  </si>
  <si>
    <t>Ujjain</t>
  </si>
  <si>
    <t>Salvador</t>
  </si>
  <si>
    <t>Adelaide</t>
  </si>
  <si>
    <t>Bhiwadi</t>
  </si>
  <si>
    <t>Kishoreganj</t>
  </si>
  <si>
    <t>Salem</t>
  </si>
  <si>
    <t>Kazan</t>
  </si>
  <si>
    <t>Eindhoven</t>
  </si>
  <si>
    <t>Bhavnagar</t>
  </si>
  <si>
    <t>Shashamane</t>
  </si>
  <si>
    <t>Belagavi</t>
  </si>
  <si>
    <t>Tijuana</t>
  </si>
  <si>
    <t>Ajman</t>
  </si>
  <si>
    <t>Kurnool</t>
  </si>
  <si>
    <t>Sapporo</t>
  </si>
  <si>
    <t>Sambalpur</t>
  </si>
  <si>
    <t>Banha</t>
  </si>
  <si>
    <t>Bern</t>
  </si>
  <si>
    <t>Khammam</t>
  </si>
  <si>
    <t>Taguig</t>
  </si>
  <si>
    <t>Thrissur</t>
  </si>
  <si>
    <t>Kisangani</t>
  </si>
  <si>
    <t>Lisbon</t>
  </si>
  <si>
    <t>Portugal</t>
  </si>
  <si>
    <t>Deoghar</t>
  </si>
  <si>
    <t>Can Tho</t>
  </si>
  <si>
    <t>Nagaon</t>
  </si>
  <si>
    <t>Shiraz</t>
  </si>
  <si>
    <t>Helsinki</t>
  </si>
  <si>
    <t>Finland</t>
  </si>
  <si>
    <t>Bathinda</t>
  </si>
  <si>
    <t>Adana</t>
  </si>
  <si>
    <t>Rajnandgoan</t>
  </si>
  <si>
    <t>Frankfurt am Main</t>
  </si>
  <si>
    <t>Riyadh</t>
  </si>
  <si>
    <t>Panipat</t>
  </si>
  <si>
    <t>Arusha</t>
  </si>
  <si>
    <t>Baramulla</t>
  </si>
  <si>
    <t>Chiang Mai</t>
  </si>
  <si>
    <t>Rudrapur</t>
  </si>
  <si>
    <t>Leeds</t>
  </si>
  <si>
    <t>Palampur</t>
  </si>
  <si>
    <t>Nice</t>
  </si>
  <si>
    <t>Bishalgarh</t>
  </si>
  <si>
    <t>Gqebertha</t>
  </si>
  <si>
    <t>Madanriting</t>
  </si>
  <si>
    <t>Palermo</t>
  </si>
  <si>
    <t>Senapati</t>
  </si>
  <si>
    <t>Eldoret</t>
  </si>
  <si>
    <t>Wokha</t>
  </si>
  <si>
    <t>Myeik</t>
  </si>
  <si>
    <t>Curchorem-Cacora</t>
  </si>
  <si>
    <t>Cartagena</t>
  </si>
  <si>
    <t>Tezu</t>
  </si>
  <si>
    <t>Mbarara</t>
  </si>
  <si>
    <t>Kolasib</t>
  </si>
  <si>
    <t>Daejeon</t>
  </si>
  <si>
    <t>Rhenak</t>
  </si>
  <si>
    <t>Valencia</t>
  </si>
  <si>
    <t>Kachigam</t>
  </si>
  <si>
    <t>San Miguel de Tucuman</t>
  </si>
  <si>
    <t>Bakutala</t>
  </si>
  <si>
    <t>Population</t>
  </si>
  <si>
    <t>Total Land Area</t>
  </si>
  <si>
    <t>Population density</t>
  </si>
  <si>
    <t>Total Inland Water Area</t>
  </si>
  <si>
    <t>Population Density</t>
  </si>
  <si>
    <t>Urban Population</t>
  </si>
  <si>
    <t>Urban Population Density</t>
  </si>
  <si>
    <t>Rural Population</t>
  </si>
  <si>
    <t>Rural Population density</t>
  </si>
  <si>
    <t>United States</t>
  </si>
  <si>
    <t>Currency</t>
  </si>
  <si>
    <t>Exchange Rate wrt INR</t>
  </si>
  <si>
    <t>GDP in 2025</t>
  </si>
  <si>
    <t>GDP in 2024</t>
  </si>
  <si>
    <t>Rate</t>
  </si>
  <si>
    <t>Population in 2025</t>
  </si>
  <si>
    <t>Population in 2024</t>
  </si>
  <si>
    <t>Population Rate</t>
  </si>
  <si>
    <t>Phillipines</t>
  </si>
  <si>
    <t>United Kingdom</t>
  </si>
  <si>
    <t>Top five Key sources of income</t>
  </si>
  <si>
    <t>Per Capita Income</t>
  </si>
  <si>
    <t>Murders reported 2025</t>
  </si>
  <si>
    <t>Murders reported 2024</t>
  </si>
  <si>
    <t>Safety Index</t>
  </si>
  <si>
    <t>Road Accidents in 2025</t>
  </si>
  <si>
    <t>Road Accidents in 2024</t>
  </si>
  <si>
    <t>Rail Accidents in 2025</t>
  </si>
  <si>
    <t>Rail Accidents in 2024</t>
  </si>
  <si>
    <t>Air Accidents in 2025</t>
  </si>
  <si>
    <t>Air Accidents in 2024</t>
  </si>
  <si>
    <t>Water Accidents in 2025</t>
  </si>
  <si>
    <t>Water Accidents in 2024</t>
  </si>
  <si>
    <t>Accidents due to faulty constructions - 2025</t>
  </si>
  <si>
    <t>Accidents due to faulty constructions - 2024</t>
  </si>
  <si>
    <t>Kidnapping - 2025</t>
  </si>
  <si>
    <t>Kidnapping - 2024</t>
  </si>
  <si>
    <t>Rape and Exploitation-2025</t>
  </si>
  <si>
    <t>Rape and Exploitation-2024</t>
  </si>
  <si>
    <t>Deaths because of diseases - 2025</t>
  </si>
  <si>
    <t>Deaths because of diseases - 2024</t>
  </si>
  <si>
    <t>Registered Cyber fraud case - 2025</t>
  </si>
  <si>
    <t>Registered Cyber fraud case - 2024</t>
  </si>
  <si>
    <t>Pending Legal Cases till 2026</t>
  </si>
  <si>
    <t>Angola</t>
  </si>
  <si>
    <t>Ukraine</t>
  </si>
  <si>
    <t>Morocco</t>
  </si>
  <si>
    <t>Disputed regions</t>
  </si>
  <si>
    <t>Dispute with which Nations</t>
  </si>
  <si>
    <t>Poland</t>
  </si>
  <si>
    <t>Uzbekistan</t>
  </si>
  <si>
    <t>Mozambique</t>
  </si>
  <si>
    <t>Malaysia</t>
  </si>
  <si>
    <t>Ghana</t>
  </si>
  <si>
    <t>Peru</t>
  </si>
  <si>
    <t>Madagascar</t>
  </si>
  <si>
    <t>Cote d Ivoire</t>
  </si>
  <si>
    <t>Cameroon</t>
  </si>
  <si>
    <t>Nepal</t>
  </si>
  <si>
    <t>Niger</t>
  </si>
  <si>
    <t>Venezuela</t>
  </si>
  <si>
    <t>Form of Governence</t>
  </si>
  <si>
    <t>Army Rank as of 2026</t>
  </si>
  <si>
    <t>Navy Rank as of 2026</t>
  </si>
  <si>
    <t>Air Force Rank as of 2026</t>
  </si>
  <si>
    <t>Army Personnel in 2026</t>
  </si>
  <si>
    <t>Navy Personnel in 2026</t>
  </si>
  <si>
    <t>Air Force Personnel in 2026</t>
  </si>
  <si>
    <t>Protests in 2025</t>
  </si>
  <si>
    <t>Protests in 2024</t>
  </si>
  <si>
    <t>Army Rank as of 2025</t>
  </si>
  <si>
    <t>Navy Rank as of 2025</t>
  </si>
  <si>
    <t>Air Force Rank as of 2025</t>
  </si>
  <si>
    <t>Army Personnel in 2025</t>
  </si>
  <si>
    <t>Navy Personnel in 2025</t>
  </si>
  <si>
    <t>Air Force Personnel in 2025</t>
  </si>
  <si>
    <t>Deaths due to disasters in 2025</t>
  </si>
  <si>
    <t>Deaths due to disasters in 2024</t>
  </si>
  <si>
    <t>Deaths due to non-war genocide - 2025</t>
  </si>
  <si>
    <t>Deaths due to non-war genocide - 2024</t>
  </si>
  <si>
    <t>Casualities within a year</t>
  </si>
  <si>
    <t>Total Casualities</t>
  </si>
  <si>
    <t>North Korea</t>
  </si>
  <si>
    <t>Syria</t>
  </si>
  <si>
    <t>Involved in wars or civil wars</t>
  </si>
  <si>
    <t>Smuggled goods captured by authorities - 2025</t>
  </si>
  <si>
    <t>Smuggled goods captured by authorities - 2024</t>
  </si>
  <si>
    <t>Key Smuggled Goods</t>
  </si>
  <si>
    <t>Drugs and contrabend related crimes reported - 2025</t>
  </si>
  <si>
    <t>Drugs and contrabend related crimes reported - 2024</t>
  </si>
  <si>
    <t>Mali</t>
  </si>
  <si>
    <t>Burkina Faso</t>
  </si>
  <si>
    <t>Current Total Income</t>
  </si>
  <si>
    <t>Sri Lanka</t>
  </si>
  <si>
    <t>Malawi</t>
  </si>
  <si>
    <t>Zambia</t>
  </si>
  <si>
    <t>Chad</t>
  </si>
  <si>
    <t>Kazakhstan</t>
  </si>
  <si>
    <t>Somalia</t>
  </si>
  <si>
    <t>Miscellaneous crimes - 2025</t>
  </si>
  <si>
    <t>Miscellaneous crimes - 2024</t>
  </si>
  <si>
    <t>Theft reported - 2025</t>
  </si>
  <si>
    <t>Theft reported - 2024</t>
  </si>
  <si>
    <t>Chile</t>
  </si>
  <si>
    <t>Senegal</t>
  </si>
  <si>
    <t>Guatemala</t>
  </si>
  <si>
    <t>Romania</t>
  </si>
  <si>
    <t>Ecuador</t>
  </si>
  <si>
    <t>Cambodia</t>
  </si>
  <si>
    <t>Zimbabwe</t>
  </si>
  <si>
    <t>Guinea</t>
  </si>
  <si>
    <t>Benin</t>
  </si>
  <si>
    <t>Rwanda</t>
  </si>
  <si>
    <t>Burundi</t>
  </si>
  <si>
    <t>Bolivia</t>
  </si>
  <si>
    <t>South Sudan</t>
  </si>
  <si>
    <t>Tunisia</t>
  </si>
  <si>
    <t>Jordan</t>
  </si>
  <si>
    <t>United Arab Emirates</t>
  </si>
  <si>
    <t>Honduras</t>
  </si>
  <si>
    <t>Tajikistan</t>
  </si>
  <si>
    <t>Papua New Guinea</t>
  </si>
  <si>
    <t>Cuba</t>
  </si>
  <si>
    <t>Czech Republic</t>
  </si>
  <si>
    <t>Army Weapon Arsenal in 2026</t>
  </si>
  <si>
    <t>Navy Weapon Arsenal in 2026</t>
  </si>
  <si>
    <t>Air Force Weapon Arsenal in 2026</t>
  </si>
  <si>
    <t>Army Weapon Arsenal in 2025</t>
  </si>
  <si>
    <t>Navy Weapon Arsenal in 2025</t>
  </si>
  <si>
    <t>Air Force Weapon Arsenal in 2025</t>
  </si>
  <si>
    <t>Nuclear Nation</t>
  </si>
  <si>
    <t>Nuclear Count</t>
  </si>
  <si>
    <t>Azerbaijan</t>
  </si>
  <si>
    <t>Togo</t>
  </si>
  <si>
    <t>Hungary</t>
  </si>
  <si>
    <t>Austria</t>
  </si>
  <si>
    <t>Sierra Leone</t>
  </si>
  <si>
    <t>Belarus</t>
  </si>
  <si>
    <t>Laos</t>
  </si>
  <si>
    <t>Turkmenistan</t>
  </si>
  <si>
    <t>Libya</t>
  </si>
  <si>
    <t>Kyrgyzstan</t>
  </si>
  <si>
    <t>Nicaragua</t>
  </si>
  <si>
    <t>Paraguay</t>
  </si>
  <si>
    <t>Bulgaria</t>
  </si>
  <si>
    <t>Serbia</t>
  </si>
  <si>
    <t>Congo</t>
  </si>
  <si>
    <t>El Salvador</t>
  </si>
  <si>
    <t>Singapore</t>
  </si>
  <si>
    <t>Lebanon</t>
  </si>
  <si>
    <t>Liberia</t>
  </si>
  <si>
    <t>Central African Republic</t>
  </si>
  <si>
    <t>Palestine</t>
  </si>
  <si>
    <t>Oman</t>
  </si>
  <si>
    <t>Mauritania</t>
  </si>
  <si>
    <t>Slovakia</t>
  </si>
  <si>
    <t>Ireland</t>
  </si>
  <si>
    <t>Costa Rica</t>
  </si>
  <si>
    <t>Kuwait</t>
  </si>
  <si>
    <t>Panama</t>
  </si>
  <si>
    <t>Croatia</t>
  </si>
  <si>
    <t>Georgia</t>
  </si>
  <si>
    <t>Eritrea</t>
  </si>
  <si>
    <t>Mongolia</t>
  </si>
  <si>
    <t>Uruguay</t>
  </si>
  <si>
    <t>Qatar</t>
  </si>
  <si>
    <t>Namibia</t>
  </si>
  <si>
    <t>Bosnia and Herzegovina</t>
  </si>
  <si>
    <t>Moldova</t>
  </si>
  <si>
    <t>Armenia</t>
  </si>
  <si>
    <t>Gambia</t>
  </si>
  <si>
    <t>Jamaica</t>
  </si>
  <si>
    <t>Lithuania</t>
  </si>
  <si>
    <t>Albania</t>
  </si>
  <si>
    <t>Gabon</t>
  </si>
  <si>
    <t>Botswana</t>
  </si>
  <si>
    <t>Lesotho</t>
  </si>
  <si>
    <t>Guinea-Bissau</t>
  </si>
  <si>
    <t>Slovenia</t>
  </si>
  <si>
    <t>Latvia</t>
  </si>
  <si>
    <t>North Macedonia</t>
  </si>
  <si>
    <t>Bahrain</t>
  </si>
  <si>
    <t>Trinidad and Tobago</t>
  </si>
  <si>
    <t>Timor-Leste</t>
  </si>
  <si>
    <t>Cyprus</t>
  </si>
  <si>
    <t>Estonia</t>
  </si>
  <si>
    <t>Eswatini</t>
  </si>
  <si>
    <t>Mauritius</t>
  </si>
  <si>
    <t>Djibouti</t>
  </si>
  <si>
    <t>Fiji</t>
  </si>
  <si>
    <t>Comoros</t>
  </si>
  <si>
    <t>Solomon Islands</t>
  </si>
  <si>
    <t>Guyana</t>
  </si>
  <si>
    <t>Bhutan</t>
  </si>
  <si>
    <t>Luxembourg</t>
  </si>
  <si>
    <t>Suriname</t>
  </si>
  <si>
    <t>Montenegro</t>
  </si>
  <si>
    <t>Malta</t>
  </si>
  <si>
    <t>Maldives</t>
  </si>
  <si>
    <t>Cabo Verde</t>
  </si>
  <si>
    <t>Brunei</t>
  </si>
  <si>
    <t>Belize</t>
  </si>
  <si>
    <t>Bahamas</t>
  </si>
  <si>
    <t>Iceland</t>
  </si>
  <si>
    <t>Vanuatu</t>
  </si>
  <si>
    <t>Barbados</t>
  </si>
  <si>
    <t>Sao Tome &amp; Principe</t>
  </si>
  <si>
    <t>Samoa</t>
  </si>
  <si>
    <t>Saint Lucia</t>
  </si>
  <si>
    <t>Kiribati</t>
  </si>
  <si>
    <t>Seychelles</t>
  </si>
  <si>
    <t>Grenada</t>
  </si>
  <si>
    <t>Micronesia</t>
  </si>
  <si>
    <t>Tonga</t>
  </si>
  <si>
    <t>Saint Vincent and Grenadines</t>
  </si>
  <si>
    <t>Antigua and Barbuda</t>
  </si>
  <si>
    <t>Andorra</t>
  </si>
  <si>
    <t>Cayman Islands</t>
  </si>
  <si>
    <t>Dominica</t>
  </si>
  <si>
    <t>Bermuda</t>
  </si>
  <si>
    <t>Saint Kitts and Nevis</t>
  </si>
  <si>
    <t>Liechtenstein</t>
  </si>
  <si>
    <t>Monaco</t>
  </si>
  <si>
    <t>Marshall Islands</t>
  </si>
  <si>
    <t>San Marino</t>
  </si>
  <si>
    <t>Palau</t>
  </si>
  <si>
    <t>Nauru</t>
  </si>
  <si>
    <t>Tuvalu</t>
  </si>
  <si>
    <t>Holy See</t>
  </si>
  <si>
    <t>Continent</t>
  </si>
  <si>
    <t>Asia</t>
  </si>
  <si>
    <t>North America</t>
  </si>
  <si>
    <t>Africa</t>
  </si>
  <si>
    <t>South America</t>
  </si>
  <si>
    <t>Europe and Asia</t>
  </si>
  <si>
    <t>Key Notes</t>
  </si>
  <si>
    <t>Neighboring Nations</t>
  </si>
  <si>
    <t>Africa and Asia</t>
  </si>
  <si>
    <t>1. Majority part of Egypt is in Africa while a small portion of Sinai Peninsular is in Asia.</t>
  </si>
  <si>
    <t>Asia and Europe</t>
  </si>
  <si>
    <t xml:space="preserve">Europe </t>
  </si>
  <si>
    <t>Europe</t>
  </si>
  <si>
    <t>Dominican Republic</t>
  </si>
  <si>
    <t>No Continent</t>
  </si>
  <si>
    <t>1. Bermuda is not the part of any continent because it is a completely isolated volcanic island that formed in the middle of the deep ocean floor, far  away from any continental land mass.</t>
  </si>
  <si>
    <t>1. Geologically, Iceland is actually very similar to Bermuda - an oceanic volcanic island - not a fragment of an old continent. Structurally, Iceland sits exactly on the Mid-Atlantic Ridge, splitting the North American and Eurasia tectonic plates. Hence, geologically it belongs to neither continent. However, because it is massive, heavily populated, and has deep rooted historical, cultural, and political ties to Scandinavia, it is categorised as Europe.</t>
  </si>
  <si>
    <t>Bangladesh, China, Pakistan, Afghanistan, Nepal, Myanmar, Bhutan, Sri Lanka, Maldives</t>
  </si>
  <si>
    <t>India, China</t>
  </si>
  <si>
    <t xml:space="preserve">1. The relation between Indonesia and India is quiet wrongly interpretted when it comes to Maritime boundaries - normally India considers Sri Lanka and Maldives as its maritime neighbours, but the confusion arise when a fact is seen that there is a maritime boundary between India's Andaman and Nicobar Islands and Indonesia's Sumatra Island. But as the standard maps focus primarily on the mainland core of India and Indian subcontinent, Indonesia is not considered as India's maritime neighbour. Technically India and Indonesia have maritime boirder as the Indira Point of the Andaman and Nicobar Island in India is just 400 nautical miles away from the Aceh region in Sumatra in north Indonesia, while the Rondo Island near Great Nicobar is just 80-90 nautical miles away from Indonesia's Banda Aceh </t>
  </si>
  <si>
    <t>1. 140 million years ago, Madagascar and India broke from Africa. While Madagascar stayed in the African vicinity, India rashed past and joined with the Eurasian plate creating Himalayas and Tibetan plateau. Due to its complete fusion with the Asian landmass and no connection to African landmass, India is strictly an Asian country rather than Asia and Africa. 2. Afghanistan is the border of India which is shortest of 106km through Ladakh, but that part comes in the POK which is legally the part of India. 2. Maritime Borders between India and Indonesia is not a conceptual idea, but a legal binding and mapped out as the two nations signed formal India- Indonesia Maritime Boundary Agreements in 1974 and 1977. These treaties precisely delimited the continental shelf and maritime boundaries stretching nearly 300 nautical miles across the Andaman Sea and the Indian Ocean.</t>
  </si>
  <si>
    <t>China, Malaysia, Papua New Guinea, Timor-Leste, Australia, Palau, Phillipines, Singapore, Thailand, Vietnam</t>
  </si>
  <si>
    <t>India, China, Afghanistan, Iran, Oman</t>
  </si>
  <si>
    <t>Niger, Chad, Cameroon, Benin, Equitorial Guinea, Sao Tome and Principe, Ghana</t>
  </si>
  <si>
    <t xml:space="preserve">1. The name Guinea historically refers to the West African coast along the Gulf of Guinea. 2. Guinea, Guinea-Bissau, and Equitorial Guinea (or the three African Guineas) chose to retain variations of the region name while adding unique identifiers to distinguish themselves from one another upon gaining independence in the mid-to-late 20th century. 3. The three African Guineas were actually ruled by three different nations as Guinea was ruled by French and got independence in 1958 - hence also called French Guinea; Guinea Bissua was formerly known as Portuguese Guinea as the nation gained independence from Portuguese in 1973 where Bissau was the capital;  Equitorial Guinea was formerly known as Spanish Guinea as it got independence on 1968 from Spanish. The name represents its location right next to the equator. </t>
  </si>
  <si>
    <t>1. Papua New Guinea was named after Guinea as well because in 1545, a Spanish maritime explorer named Ynigo Ortiz de Retez observed that the local Melanesian population closely resembled the West African people of Guinea - hence named it 'New Guinea'. The word Papua comes from a local indigenous or Malay root meaning frizzled or curly haired.</t>
  </si>
  <si>
    <t>Venezuela, Guyana, Suriname, France, Colombia, Peru, Bolivia, Paraguay, Argentina, Uruguay</t>
  </si>
  <si>
    <t xml:space="preserve">1. Brazil officially shares a land border with France because French Guiana is an overseas department and an integral part of France. </t>
  </si>
  <si>
    <t>1. USA and Russia is divided by the Bering Strait in Alaska while Cuba and Bahamas are joined to USA thorugh Florida. UK and USA share boundaries through British Virgin Islands while Dominican Republic is seperated to USA through Puerto Rico. Venezuela is connected to US through US Virgin Islands while Samoa and New Zealand is connected through American Samoa and Micronesia through Guam. 2. US and Canada border is the longest land border between any two countries in the world</t>
  </si>
  <si>
    <t>India, Myanmar</t>
  </si>
  <si>
    <t>1. Taiwan operates as a separate, de facto independent country, whereas Hong Kong and Macao are officially part of China but operates as highly autonomous territories. Taiwan functions exactly like an independent country as it has its own democratically elected president, parliament, constitution, passport, currency, and millitary forces. The Chinese government has never ruled the island in the modern era. But the PRC claims Taiwan is a breakaway province that must be reunified with the mainland. China considers Taiwan its part because of a combination of historical claims, the outcome of Chinese Civil War, and the legal framework established in its constitution - In 1949, the Chinese Civil War ended with the chinese Communist Party winning control of mainland China as they established PRC while the defeated Nationalist governament - Kuomintang, led by Chiang Kai-shek, fled to Taiwan as they maintained the island's existing government, known as the Republic of China. China gained administrative control in the island in 1963 during Qing Dynasty but lost it to Japan in 1895 after losing the First Sino-Japanese War, which was handed back to China after the defeat of Japan in WW2 in 1945. 2. China has the highes number of neighbors considering the land and maritime boundaries - 20</t>
  </si>
  <si>
    <t>1. Russia's 77% land is in Asia while its 75-80% population is in Europe. 2. Russia and China are tied for the countries with most national neighbours through land borders being 14. 3. Even though Uzbekistan, Krygyzstan, Turkmenistan, and Tajikistan is normally considered associated with Russia because of their Soiviet connections, they are not neighbours as four are separated from Russia through Kazakhstan. 3. Poland and Lithuania does not have a physical visual land border with Russia, but because of a region acquired in the Baltic Sea called Kalingrad, the two became Russia's border.</t>
  </si>
  <si>
    <t>China, Russia</t>
  </si>
  <si>
    <t>Eritrea, Djibouti, Somalia, Kenya, South Sudan, Sudan</t>
  </si>
  <si>
    <t>US, Guatemala, Belize, Cuba, Honduras</t>
  </si>
  <si>
    <t>China, South Korea, Russia, Phillipines, North Korea</t>
  </si>
  <si>
    <t>1. Japan has no land borders as it is an island nation. It falls under a small category of nations that have countries like UK, Sri Lanka, Maldives, Australia, New Zealan, Iceland etc. 2 .The case between US and Japan is exactly same as India-Indonesia maritime border as the US territory of Northern Mariana Islands sits far west from the American mainland which directly meets the Japan's eastern Ogasawara island chain - just like how India's Andaman and Nicobar Islands is in direct vicinity (just 300 to 400 nautical miles away) from the Aceh region of northern Indonesia.</t>
  </si>
  <si>
    <t>China, Indonesia, Japan, Palau, Malaysia, Vietnam</t>
  </si>
  <si>
    <t>CAR, South Sudan, Uganda, Rwanda, Burundi, Tanzania, Zambia, Angola, Congo</t>
  </si>
  <si>
    <t xml:space="preserve">Iran, Greece, Bulgaria, Georgia, Armenia, Azerbaijan, Iraq, Syria, Ukraine, Romania, Cyprus, </t>
  </si>
  <si>
    <t xml:space="preserve">1. About 97% of the country is in West Asia while remaining part is in southern Europe. 2. The case between Turkey and Russia is same as that of India-Indonesia  - Linked by Black Sea Agreement in 1978 in case of Russia-Turkey just like linked by Great Channel Agreements in 1974-77 between India-Indoesia as they both have legal EEZ touch </t>
  </si>
  <si>
    <t>DR Congo, Kenya, Uganda, Rwanda, Burundi, Zambia, Malawi, Mozambique, Comoros, Seychelles</t>
  </si>
  <si>
    <t>Indonesia, Vietnam, Myanmar, Laos, Cambodia, Malaysia</t>
  </si>
  <si>
    <t>1. Case of Thailand is exactly the same as Indonesia for India as through Andaman and Nicobar Islands.</t>
  </si>
  <si>
    <t xml:space="preserve">1. France shares maritime boundaries with approximately 30 different countries across every major ocean. UK, Belgium, Italy, Spain, and Monaco through organic Atlantic Ocean border, while Canada, Antigua and Berbuda, Barbados, Dominica, Saint Lucia, St. Vincent and the Grenadines, Venezuela, Netherlands, and part of UK from its possession of American territories like Saint Pierre and Miquelon, Guadelope,  Martinique, Saint Martini,  and Saint Barthelemy; South American Maritime neighbours of Brazil and Suriname through French Guinea, Indian Ocean neighbours of Comoros, Madagascar, Mauritius, Seychelles, Mozambique through acquisition of islands like Reunion, Mayotte, and the French Southern and Antarctic Lands, and Oceania neighbours of Australia, Fiji, Kiribati, Papua New Guinea thorugh French Polynesia, New Caledonia, and Wallis and Futuna, For New Zealand as the maritime neighbour of France though Tokelau and Cook Islands.  </t>
  </si>
  <si>
    <t>1. South Africa shares a border with france through its acquired region of subantarctic region of Prince Edward Islands - Marion Island and Prince Edward Island.</t>
  </si>
  <si>
    <t>Namibia, Botswana, Zimbabwe, Mozambique, Eswatini, Lesotho</t>
  </si>
  <si>
    <t>1. San Marino and Vatican City are enclaved nations in italy. Vatican City is an independent city-state entirely surrounded by the city of Rome.</t>
  </si>
  <si>
    <t>Ethiopia, Tanzania, Uganda, South Sudan, Somalia</t>
  </si>
  <si>
    <t xml:space="preserve">1. India is officially recognized as a maritime neighbour of Kenya through a formal bilateral framework called the BAHARI Joint Vision Statement issued by Indian Ministry of External Affairs. Signed during the Kenya President William Ruto's state visit to India - BAHARI means outside in Hindi as in outside the scope of traditional definition of the international boundary of India, and BAHARI meaning ocean in Swahili which means is the cross-ocean facing nation to Kenya. </t>
  </si>
  <si>
    <t>India, China, Bangladesh, Thailand, Laos</t>
  </si>
  <si>
    <t xml:space="preserve">Germany, Brazil, UK, Spain, Belgium, Switzerland, Italy, Luxembourg, Andorra, Monaco </t>
  </si>
  <si>
    <t>Brazil, Panama, Venezuela, Peru, Ecuador, Costa Rica, Nicaragua, Honduras, Jamaica, Dominican Republic</t>
  </si>
  <si>
    <t>Ethiopia, Egypt, Libya, Chad, CAR, South Sudan, Eritrea, Saudi Arabia</t>
  </si>
  <si>
    <t>DR Congo, Tanzania, Kenya, South Sudan, Rwanda</t>
  </si>
  <si>
    <t>China, Japan, North Korea</t>
  </si>
  <si>
    <t>Italy, Tunisia, Libya, Niger, Mali, Mauritania, Morocco, Spain</t>
  </si>
  <si>
    <t>Iran, Turkey, Syria, Jordan, Saudi Arabia, Kuwait</t>
  </si>
  <si>
    <t>France, Italy, Algeria, Portugal, Andorra, Morocco</t>
  </si>
  <si>
    <t>1. Due to the presence of Canary Islands, Spain shares an Exclusive Economic Zone bounday with Mauritania and Cape Verde. 2. UK has a boundary with Spain as the former has a colony in the form of Gibraltar at the southern tip of the Iberian Peninsula.</t>
  </si>
  <si>
    <t>Brazil, Chile, Bolivia, Paraguay, Uruguay</t>
  </si>
  <si>
    <t>1. Argentina shares a maritime border with UK through Falkland Islands.</t>
  </si>
  <si>
    <t>India, China, Pakistan, Iran, Tajikistan, Turkmenistan, Uzbekistan</t>
  </si>
  <si>
    <t>Saudi Arabia, Oman, Djibouti, Eritrea, Somalia</t>
  </si>
  <si>
    <t>US, Denmark</t>
  </si>
  <si>
    <t>1. Denmark shares a maritime boundary and a tiny land border on  the divided Hans Island in the Arctic. Hans Island - also known as Tartupaluk in Greelandic is a small uninhabitated Arctic Island that is famously split between Canada and the kingdom of Denmark.</t>
  </si>
  <si>
    <t>DR Congo, Namibia, Zambia, Congo</t>
  </si>
  <si>
    <t>1. Just like Spain, Morocco is considered neighbour to UK like Spain as it is neighbour to Gibraltar which is a part of UK.</t>
  </si>
  <si>
    <t>Russia, Germany, Ukraine, Czech Republic, Slovakia, Belarus, Lithuania, Sweden, Denmark</t>
  </si>
  <si>
    <t>Afghanistan, Kazakhstan, Kyrgyzstan, Tajikistan, Turkmenistan</t>
  </si>
  <si>
    <t>Tanzania, South Africa, Malawi, Zambia, Zimbabwe, Eswatini, Madagascar, Comoros</t>
  </si>
  <si>
    <t>1. Mozambique shares maritime borders with French-administered territories in the region, including Mayotte and the uninhabited Glorioso Islands - making Mozambique an unofficial neighbour of France.</t>
  </si>
  <si>
    <t>Indonesia, Philippines, Vietnam, Thailand, Brunei, Singapore</t>
  </si>
  <si>
    <t>1. China is not a direct neighbour of Malaysia. They are maritime neighbours in a broader sense because both countries border the South Cina Sea. Malaysia's exclusive sconomic zone in the South China Sea overlaps with China's expensive maritime claims.</t>
  </si>
  <si>
    <t>Brazil, Colombia, Bolivia, Ecuador, Chile</t>
  </si>
  <si>
    <t>Ghana, Guinea, Liberia, Mali, Burkina Faso</t>
  </si>
  <si>
    <t>Nigeria, Chad, CAR, Congo, Gabon, Equitorial Guinea</t>
  </si>
  <si>
    <t>Nigeria, Algeria, Benin, Burkina Faso, Mali, Libya, Chad</t>
  </si>
  <si>
    <t>1. Venezuela is neighbours to US, Netherlands, France, and UK through respective dependent colonies of Puerto Rico and US Virgin Islands; Aruba, Bonaire, and Curacao as well as Saba and Saint Eustatius; Guadeloupe and  Martinique; and Montserrat.</t>
  </si>
  <si>
    <t>Canada, Mexico, Russia, Bahamas, Cuba, UK, Dominican Republic, Samoa, New Zealand, Micronesia</t>
  </si>
  <si>
    <t>Brazil, Colombia, Guyana, Trinidad and Tobago, Grenada, Dominican Republic, Dominica, St. Vincnt and the Grenadines, St. Kitts and Nevis.</t>
  </si>
  <si>
    <t>Indonesia, Papua New Guinea, Timor-Leste, Solomon Islands, Vanuatu, New Zealand</t>
  </si>
  <si>
    <t>1. Australia shares its border with France as French territory of New Caledonia is about 1469km away east of Brisbane.</t>
  </si>
  <si>
    <t>China, Russia, Japan, South Korea</t>
  </si>
  <si>
    <t>Turkey, Iraq, Jordan, Israel, Lebanon, Cyprus</t>
  </si>
  <si>
    <t>Algeria, Ivory Coast, Niger, Burkina Faso, Guinea, Senegal, Mauritania</t>
  </si>
  <si>
    <t>Ghana, Ivory Coast, Niger, Mali, Benin, Togo</t>
  </si>
  <si>
    <t>India, Maldives</t>
  </si>
  <si>
    <t>India, Sri Lanka</t>
  </si>
  <si>
    <t>Tanzania, Mopzambique, Zambia</t>
  </si>
  <si>
    <t>DR Congo, Tanzania, Angola, Mozambique, Malawi, Zimbabwe, Botswana, Namibia</t>
  </si>
  <si>
    <t>Nigeria, Sudan, Cameroon, Niger, Libya, CAR</t>
  </si>
  <si>
    <t>China, Russia, Uzbekistan, Kyrgyzstan, Turkmenistan, Azerbaijan</t>
  </si>
  <si>
    <t>Ethiopia, Kenya, Yemen, Djibouti</t>
  </si>
  <si>
    <t>Argentina, Peru, Bolivia</t>
  </si>
  <si>
    <t>Mali, Mauritania, Guinea, Guinea-Bissau, Gambia, Cape Verde</t>
  </si>
  <si>
    <t>Mexico, Belize, Honduras, El Salvador</t>
  </si>
  <si>
    <t>Turkey, Ukraine, Moldova, Bulgaria, Serbia, Hungary</t>
  </si>
  <si>
    <t xml:space="preserve">1. Just like France and UK, Netherlands has unofficial neighbours in the form of Venezuela thropugh Aruba, Bonaire, and Curacao islands, France thorugh Sint Maarten that shares a direct land and maritime boundary with the French overseas collectivity of Saint Martin, UK thorugh its Carribean captures like Anguilla, Dominican Republic, Saint Kitts and Nevis, and US throguh US Virgin Islands </t>
  </si>
  <si>
    <t>1. Bolivia lost its original Pacific coastline to Chile during the War of Pacific in 1879-1883.</t>
  </si>
  <si>
    <t>Colombia, Peru, Costa Rica</t>
  </si>
  <si>
    <t>Vietnam, Thailand, Laos</t>
  </si>
  <si>
    <t>South Africa, Mozambique, Zambia, Botswana</t>
  </si>
  <si>
    <t>1. Namibia is not the direct neighbour of Zimbabwe. They come close to about 150 m at the Kazungula region along the Zambesi River where Namibia and Zimbabwe forms the two corners of the aptly named "Four Corners of Africa" with other two being Zambia and Botswana.</t>
  </si>
  <si>
    <t>Ivory Coast, Mali, Senegal, Guinea-Bissau, Sierra Leone, Liberia</t>
  </si>
  <si>
    <t>Nigeria, Burkina Faso, Togo, Ivory  Coast</t>
  </si>
  <si>
    <t xml:space="preserve">Nigeria, Niger, Burkina Faso, Togo, </t>
  </si>
  <si>
    <t>1. The confusion between the relation between Benin and Ghana occurs because of how the Gulf of Guinea is legally managed in West Africa, which sometimes causes Benin and Ghana to be termed as neighbors.</t>
  </si>
  <si>
    <t>DR Congo, Tanzania, Uganda, Burundi</t>
  </si>
  <si>
    <t>DR Congo, Tanzania, Rwanda</t>
  </si>
  <si>
    <t>1. While Burundi and Zambia do not touch on land, they are informally recognized as maritime neighbouyrs via their shared jurisdiction over Lake Tanganyika</t>
  </si>
  <si>
    <t>Brazil, Argentina, Peru, Chile, Paraguay</t>
  </si>
  <si>
    <t>Ethiopia, DR Congo, Kenya, Sudan, Uganda, CAR</t>
  </si>
  <si>
    <t>Italy, Algeria, Libya, Malta</t>
  </si>
  <si>
    <t>Germany, UK, France, Netherlands, Luxembourg</t>
  </si>
  <si>
    <t>Iran, Saudi Arabia, Oman, Qatar</t>
  </si>
  <si>
    <t>China, Afghanistan, Uzbekistan, Kyrgyzstan</t>
  </si>
  <si>
    <t>Indonesia, Australia, Solomon Islands, Micronesia</t>
  </si>
  <si>
    <t>US, Mexico, Dominican Republic, Honduras, Bahamas, Jamaica, Cayman Islands</t>
  </si>
  <si>
    <t>Germany, Poland, Norway, Finland, Denmark, Lithuania, Latvia, Estonia</t>
  </si>
  <si>
    <t>Germany, Poland, Slovakia, Austria</t>
  </si>
  <si>
    <t>Russia, Iran, Turkey, Kazakhstan, Georgia, Armenia, Turkmenistan</t>
  </si>
  <si>
    <t>1. Most of the country lies in Southwetern Asia - specially the South Caucasus region, but a small northern portion extends into Eastern Europe. 2. For nearly 30 years, Azerbaijan and Turkmenistan were locked in a diplomatic standoff over three major offshore fields located near their factua; midline - Kyapaz-Serdar, Azeri-Chirag-Guneshli,etc. 3. The overlapping maritime claims in the southern Caspian Sea stem directly from the collapse of the Soviet Union in 1991. Prior to this, the Caspian was regulated by bilateral treaties between the USSR and Iran. When Azerbaijan, Kazakhstan. and Turkmenistan emerged as independent nations, the two-way split became a five-nation puzzle. This has made the dispute between Azerbaijan and Iran much more volatile.</t>
  </si>
  <si>
    <t>Spain, Morocco</t>
  </si>
  <si>
    <t>Head of Nation</t>
  </si>
  <si>
    <t>Title</t>
  </si>
  <si>
    <t>Ghana, Burkina Faso, Benin</t>
  </si>
  <si>
    <t>Turkey, Italy, Albania, North Macedonia, Bulgaria, Egypt, Cyprus, Libya</t>
  </si>
  <si>
    <t>Egypt, Syria, Jordan, Lebanon, Palestine, Cyprus</t>
  </si>
  <si>
    <t>Egypt, Iran, Sudan, Iraq, Yemen, Jordan, Kuwait, Qatar, UAE, Oman, Eritrea, Bahrain</t>
  </si>
  <si>
    <t>1. Four countries converge at a tiny body of water called the Gulf of Aqaba - Egypt at th West Coast, Israel at the North West tip, Jordan at the Nort East tip, and Saudi at the east tip. By the proper definition of maritime boundary, Israel is not neighbor to Saudi as Jordan comes in between.</t>
  </si>
  <si>
    <t>Ukraine, Romania, Slovakia, Serbia, Croatia, Slovenia, Austria</t>
  </si>
  <si>
    <t>Italy, Czech Republic, Hungary, Germany, Slovakia, Slovenia, Switzerland, Liechtenstien</t>
  </si>
  <si>
    <t>Denmark, Poland, Czech Republic, France, Luxembourg, Belgium, Netherlands, Sweden, UK, Austria, Switzerland</t>
  </si>
  <si>
    <t>France, Italy, Austria, Germany, Liechtenstein</t>
  </si>
  <si>
    <t>Guinea, Liberia</t>
  </si>
  <si>
    <t>Ivory Coast, Guinea, Sierra Leone,</t>
  </si>
  <si>
    <t>Russia, Ukraine, Poland, Lithuania, Latvia</t>
  </si>
  <si>
    <t>China, Vietnam, Thailand, Myanmar, Cambodia</t>
  </si>
  <si>
    <t>China, US, Norway, Finland, Estonia, Latvia, Lithuania, Poland, Belarus, Ukraine, Georgia, Azerbaijan, Kazakhstan, Mongolia, North Korea, Japan, Turkmenistan, Iran</t>
  </si>
  <si>
    <t>Pakistan, Iraq, Turkey, Armenia, Azerbaijan, Turkmenistan, Afghanistan, Saudi Arabia, UAE, Qatar, Kuwait, Bahrain, Oman, Russia</t>
  </si>
  <si>
    <t>Iran, Afghanistan, Uzbekistan, Kazakhstan, Azerbaijan, Russia</t>
  </si>
  <si>
    <t>Egypt, Italy, Sudan, Algeria, Niger, Chad, Tunisia, Greece, Malta</t>
  </si>
  <si>
    <t>China, Uzbekistan, Kazakhstan, Tajikistan</t>
  </si>
  <si>
    <t>Colombia, Honduras, Costa Rica, El Salvador</t>
  </si>
  <si>
    <t>Brazil, Argentina, Bolivia</t>
  </si>
  <si>
    <t>Turkey, Romania, Greece, Serbia, North Macedonia</t>
  </si>
  <si>
    <t>1. Serbia claims Albania as its border, but this relation falls under unofficial category because Serbia does not recognize Kosovo's 2008 declaration of independence and legally consider the country to be its own southern province, while Kosovo and around 100+ UN Countries consider the region as independent nation.</t>
  </si>
  <si>
    <t>Romania, Hungary, Bulgaria, North Macedonia, Montenegro, Bosnia and Herzegovina, Croatia</t>
  </si>
  <si>
    <t>DR Congo, Angola, Cameroon, CAR, Gabon</t>
  </si>
  <si>
    <t>Guatemala, Honduras, Nicaragua</t>
  </si>
  <si>
    <t>Germany, UK, Canada, Poland, Sweden, Norway, Iceland, Netherlands</t>
  </si>
  <si>
    <t>Germany, UK, Belgium, Denmark</t>
  </si>
  <si>
    <t>Indonesia, Malaysia</t>
  </si>
  <si>
    <t>Egypt, Iraq, Saudi Arabia, Syria, Israel, Palestine</t>
  </si>
  <si>
    <t>DR Congo, Sudan, Cameroon, Chad, South Sudan, Congo</t>
  </si>
  <si>
    <t>Egypt, Jordan, Israel, Cyprus</t>
  </si>
  <si>
    <t>Pakistan, Iran, Yemen, Saudi Arabia, UAE</t>
  </si>
  <si>
    <t>Russia, UK, Sweden, Denmark, Finland, Iceland</t>
  </si>
  <si>
    <t>Russia, Sweden, Norway, Estonia</t>
  </si>
  <si>
    <t>Algeria, Mali, Senegal, Cape Verde</t>
  </si>
  <si>
    <t>Algeria, Spain, Portugal</t>
  </si>
  <si>
    <t>1. Whether Morocco and Mauritania are considered as neighbours depend directly on the geopolitical status of Western Sahara. According to the United Nations and the majority of international law, Morocco and Mauritania do not officially share a land border as the territory seperating them is Western Sahara which UN classifies as a "Non-Self-Governing Territory". Officially, Mauritania's northern neighbour is Western Sahara as it formally recognized the Sahrawi Arab Democratic Republic (SADR) as the soverign entity of Western Sahara. But on ground, they are neighbours as Morocco controls and administers 75% of Western Sahara. Hence, Morocco government considers Mauritania as neighbours.</t>
  </si>
  <si>
    <t>Ukraine, Poland, Czech Republic, Hungary, Austria</t>
  </si>
  <si>
    <t>1. Since the UK officially left the European Union through Brexit, Irish and French leaders officially refer to France as Ireland's closest neighbor within the European Union.</t>
  </si>
  <si>
    <t>1. As New Caledonia sits directly north of new Zealand's economic zones, New Zealand shares a maritime boundary with France as well. 2. The Ross Dependency - New Zealand's claim in Antarctica legally shares a maritime border with the Australian Antarctic Territory.</t>
  </si>
  <si>
    <t>Colombia, Ecuador, Nicaragua, Panama</t>
  </si>
  <si>
    <t>Iran, Iraq, Saudi Arabia</t>
  </si>
  <si>
    <t>Mexico, Colombia, Guatemala, El Salvador, Nicaragua, Belize, Costa Rica, Cuba</t>
  </si>
  <si>
    <t>Colombia, Costa Rica</t>
  </si>
  <si>
    <t>Italy, Hungary, Serbia, Bosnia and Herzegovina, Slovenia, Montenegro</t>
  </si>
  <si>
    <t xml:space="preserve">Russia, Turkey, Azerbaijan, Armenia, </t>
  </si>
  <si>
    <t>Russia, Turkey, Belarus, Poland, Slovakia, Hungary, Romania, Moldova</t>
  </si>
  <si>
    <t>1. The country of Georgia is a transcontinental nation located at the intersection of Eastern Europe and Western Asia. 2. Becaause Ukraine and Georgia are both on the Black Sea coast, some political and regional analyses loosely refer to them as being in the "same maritime neighbour" or having a "shared maritime region". However, legally and geographically, they are seperated by the maritime zones of Russia.</t>
  </si>
  <si>
    <t>Ethiopia, Sudan, Yemen, Saudi Arabia, Djibouti</t>
  </si>
  <si>
    <t>Brazil, Argentina</t>
  </si>
  <si>
    <t>Iran, Saudi Arabia, UAE, Bahrain</t>
  </si>
  <si>
    <t>South Africa, Angola, Zambia, Botswana</t>
  </si>
  <si>
    <t>Serbia, Croatia, Montenegro</t>
  </si>
  <si>
    <t>Ukraine, Romania</t>
  </si>
  <si>
    <t>Iran, Turkey, Azerbaijan, Georgia</t>
  </si>
  <si>
    <t>Senegal, Cape Verde</t>
  </si>
  <si>
    <t>US, Colombia, Venezuela, Cuba</t>
  </si>
  <si>
    <t xml:space="preserve">Colombia, Cuba, Cayman Islands, </t>
  </si>
  <si>
    <t xml:space="preserve">1. Jamaica and Dominican Republic are not official neighbors as they are seperated by Haiti. Same goes for Jamaica and Nicargua as Colombia separates the two. 2. Hondusras is not currently an official maritime neighbour of Jamaica even though their exclusive economic zones potentially touch in the waters near the Swan Islands of Honduras and Pedro Cays in Jamaica. But the two countries have met to dicuss a formal agreement on their boundary matter. </t>
  </si>
  <si>
    <t>Russia, Poland, Sweden, Belarus, Latvia</t>
  </si>
  <si>
    <t>Italy, Greece, Montenegro, North Macedonia</t>
  </si>
  <si>
    <t>Cameroon, Congo, Equatorial Guinea, Sao Tome and Principe</t>
  </si>
  <si>
    <t>South Africa, Zambia, Zimbabwe, Namibia</t>
  </si>
  <si>
    <t>Italy, Hungary, Austria, Croatia</t>
  </si>
  <si>
    <t>Nigeria, Cameroon, Gabon, Sao Tome and Principe</t>
  </si>
  <si>
    <t>Equatorial Guinea</t>
  </si>
  <si>
    <t xml:space="preserve">Russia, Sweden, Belarus, Lithuania, Estonia </t>
  </si>
  <si>
    <t>Greece, Bulgaria, Albania, Serbia</t>
  </si>
  <si>
    <t>Iran, Saudi Arabia, Qatar</t>
  </si>
  <si>
    <t>Veneuela, Grenada, Barbados, Guyana</t>
  </si>
  <si>
    <t>Indonesia, Australia</t>
  </si>
  <si>
    <t>Libya, Sudan, Israel, Palestine, Saudi Arabia, Jordan, Greece, Cyprus</t>
  </si>
  <si>
    <t>Turkey, Syria, Greece, Israel, Palestine, Egypt, Lebanon</t>
  </si>
  <si>
    <t>Syria, Israel, Cyprus</t>
  </si>
  <si>
    <t>Russia, Sweden, Finland, Latvia</t>
  </si>
  <si>
    <t>South Africa, Mozambique</t>
  </si>
  <si>
    <t>Mozambique, Comoros, Seychelles</t>
  </si>
  <si>
    <t>1. About 160 million years ago, it was physica;;y attached to Africa and later to India. Tectonic plates ripped it apart, leaving it isolated. Because it is a broken piece of the original African Landmass, it is categorized as a continental fragment of Africa. 2. Just like Mozambique, Madagascar shares maritime borders with French-administered territories in the region, including Mayotte and Reunion - making Mozambique an unofficial neighbour of France. 2. Madagascar and Mauritius has no physical land boundary as the latter one is an island nation while they are not even maritime neighbours as the French occupied Reunion sits in between. But Madagascar is considered a close regional ally and a primary geopolitical neighbour in  the southwest Indian Ocean.</t>
  </si>
  <si>
    <t>1. Just like Madagascar, Mauritius is an official neighbour of France as the island of Reunion which is occupied by France is quite next to Mauitius sitting in between Mauritius and Madagascar.</t>
  </si>
  <si>
    <t>Ethiopia, Yemen, Somalia, Eritrea</t>
  </si>
  <si>
    <t>Tanzania, Mozambique, Madagascar, Seychelles</t>
  </si>
  <si>
    <t>New Zealand, Vanuatu, Tonga, Tuvalu, Samoa, Solomon Islands</t>
  </si>
  <si>
    <t>Brazil, Venezuela, Trinidad and Tobago, Suriname</t>
  </si>
  <si>
    <t>Germany, France, Belgium</t>
  </si>
  <si>
    <t>Brazil, Guyana</t>
  </si>
  <si>
    <t>1. Suriname shares direct border with France through its proximity with French Guinea.</t>
  </si>
  <si>
    <t>Italy, Serbia, Croatia, Bosnia and Herzegovina, Albania</t>
  </si>
  <si>
    <t>Italy, Tunisia, Libya</t>
  </si>
  <si>
    <t>Senegal, Mauritania, Gambia, Guinea Bissau</t>
  </si>
  <si>
    <t>Senegal, Guinea, Cape Verde</t>
  </si>
  <si>
    <t>India, Mongolia, Russia, North Korea, Kazakhstan, Kyrgyzstan, Tajikistan, Afghanistan, Pakistan, Nepal, Bhutan, Myanmar, Laos, Vietnam, South Korea, Japan, Phillipines, Indonesia</t>
  </si>
  <si>
    <t>China, Indonesia, Philippines, Laos, Cambodia, Thailand, Malaysia</t>
  </si>
  <si>
    <t>Mexico, Guatemala, Honduras</t>
  </si>
  <si>
    <t>US, Cuba</t>
  </si>
  <si>
    <t>US, Germany, Ireland, France, Belgium, Netherlands, Denmark, Norway</t>
  </si>
  <si>
    <t>Denmark, Norway</t>
  </si>
  <si>
    <t>Australia, Fiji, Solomon Islands</t>
  </si>
  <si>
    <t>Australia, Fiji,  Tonga</t>
  </si>
  <si>
    <t>1. Vanuatu just like its other neighbours shares a direct boundary with France through New Caledonia island.</t>
  </si>
  <si>
    <t>Trinidad and Tobago, Saint Vincent and the Grenadines, Saint Lucia</t>
  </si>
  <si>
    <t>Nigeria, Gabon, Equatorial Guinea</t>
  </si>
  <si>
    <t>Fiji, Tonga</t>
  </si>
  <si>
    <t>1. The nation shares a maritime boundary with US through American Samoa.</t>
  </si>
  <si>
    <t>Barbados, Saint Vincent and the Grenadines</t>
  </si>
  <si>
    <t xml:space="preserve">1. Just like many Pacific Island nations, this is also direct neighbor to France through its occupied region of Martinique. </t>
  </si>
  <si>
    <t>Marshall Islands, Nauru</t>
  </si>
  <si>
    <t>Tanzania, Madagascar, Mauritius, Comoros</t>
  </si>
  <si>
    <t>Papua New Guinea, Palau, Marshall Islands</t>
  </si>
  <si>
    <t>New Zealand, Fiji, Samoa</t>
  </si>
  <si>
    <t>Venezuela, Trinidad and Tobago, Saint Vincent and Grenadines</t>
  </si>
  <si>
    <t>Venezuela, Barbados, Grenada, Saint Lucia</t>
  </si>
  <si>
    <t>1. Antigua and Barbuda is neighbours to UK and France thorugh their occupied islands of Montserrat and Anguilla as well as Guadeloupe and Saint Barthelemy respectively.</t>
  </si>
  <si>
    <t>Venezuela, Antigua and Barbuda</t>
  </si>
  <si>
    <t>France, Spain</t>
  </si>
  <si>
    <t>Cuba, Jamaica</t>
  </si>
  <si>
    <t>1. Dominca is a direct neighbour to France through its occupied islands of Guadeloupe and Martinque. 2. Venezuela shares a direct maritime relation with Dominica thorugh Isla Aves that is located just 70-90km west from Dominica.</t>
  </si>
  <si>
    <t>NA</t>
  </si>
  <si>
    <t>1. St. Kitts and Nevis shares boundary with Netherland through Sint Eustatius and France through Saint Barthelemy.</t>
  </si>
  <si>
    <t>Austria, Switzerland</t>
  </si>
  <si>
    <t>Kiribati, Micronesia, Nauru</t>
  </si>
  <si>
    <t>Solomon Islands, Kiribati, Marshall Islands</t>
  </si>
  <si>
    <t>Indonesia, Philippine, Micronesia</t>
  </si>
  <si>
    <t xml:space="preserve">Australia, Papua New Guinea, Vanuatu, Fiji, Nauru </t>
  </si>
  <si>
    <t>France, Switzerland, Austria, Slovenia, San Marino, Croatia, Albania, Montenegro, Greece, Malta, Tunisia, Libya, Algeria, Spain, Holy See</t>
  </si>
  <si>
    <t>Federal Parliamentary Democratic Republic</t>
  </si>
  <si>
    <t>Leading Party</t>
  </si>
  <si>
    <t>Narendra Modi</t>
  </si>
  <si>
    <t>Prime Minister</t>
  </si>
  <si>
    <t>Bhartiya Janata Party</t>
  </si>
  <si>
    <t>Unitary Socialist One-Party Republic</t>
  </si>
  <si>
    <t>Xi Jinping</t>
  </si>
  <si>
    <t>President</t>
  </si>
  <si>
    <t>Chinese Communist Party</t>
  </si>
  <si>
    <t>Federal Constitutional Republic and Representative Democracy</t>
  </si>
  <si>
    <t>Donald Trump</t>
  </si>
  <si>
    <t>Republican Party</t>
  </si>
  <si>
    <t>Unitary Presidential Constitutional Republic</t>
  </si>
  <si>
    <t>Prabowo Subianto</t>
  </si>
  <si>
    <t>Gerindra Party (Great Indonesia Movement Party)</t>
  </si>
  <si>
    <t>Tenure</t>
  </si>
  <si>
    <t>Time</t>
  </si>
  <si>
    <t>Last Elected Year</t>
  </si>
  <si>
    <t>2014-19; 2019-24, 2024-+</t>
  </si>
  <si>
    <t>2012-2013; 2013-2017; 2018-2023; 2023-+</t>
  </si>
  <si>
    <t>2017-2021; 2025-+</t>
  </si>
  <si>
    <t>Winning Constituency</t>
  </si>
  <si>
    <t>Jiangsu</t>
  </si>
  <si>
    <t>Residing State</t>
  </si>
  <si>
    <t>Gujarat</t>
  </si>
  <si>
    <t>Florida</t>
  </si>
  <si>
    <t>Shaanxi</t>
  </si>
  <si>
    <t>2024-+</t>
  </si>
  <si>
    <t>Federal Parliamentary Republic</t>
  </si>
  <si>
    <t>Ceremonial Head</t>
  </si>
  <si>
    <t>Shehbaz Sharif</t>
  </si>
  <si>
    <t>Pakistan Muslim League - Nawaz</t>
  </si>
  <si>
    <t>Asif Ali Zardari</t>
  </si>
  <si>
    <t>2022-2023; 2024-+</t>
  </si>
  <si>
    <t>Lahore</t>
  </si>
  <si>
    <t>Punjab Province</t>
  </si>
  <si>
    <t>2008-2013; 2024-+</t>
  </si>
  <si>
    <t>Droupadi Murmu</t>
  </si>
  <si>
    <t>2022-+</t>
  </si>
  <si>
    <t>Current Political Stability</t>
  </si>
  <si>
    <t>Protests and unrests in 2025</t>
  </si>
  <si>
    <t>Bola Ahmed Tinubu</t>
  </si>
  <si>
    <t xml:space="preserve">All Progressives Congress </t>
  </si>
  <si>
    <t>2023-+</t>
  </si>
  <si>
    <t>Luiz Inacio Lula da Silva</t>
  </si>
  <si>
    <t>Partido dos Trabalhadores (Workers' Party)</t>
  </si>
  <si>
    <t>2003-2007; 2007-2011; 2023-+</t>
  </si>
  <si>
    <t>Pernambuco</t>
  </si>
  <si>
    <t>Unitary Parliamentary Representative Democratic Republic</t>
  </si>
  <si>
    <t>Tarique Rahman</t>
  </si>
  <si>
    <t>Bangladesh Nationalist Party</t>
  </si>
  <si>
    <t>Mirza Fakhrul Islam Alamgir</t>
  </si>
  <si>
    <t>2026-+</t>
  </si>
  <si>
    <t>Federal Semi-Presidential Republic</t>
  </si>
  <si>
    <t>Vladimir Putin</t>
  </si>
  <si>
    <t>United Russia</t>
  </si>
  <si>
    <t>1999-2008; 2012-+</t>
  </si>
  <si>
    <t>St.Petersburg</t>
  </si>
  <si>
    <t>Abiy Ahmed</t>
  </si>
  <si>
    <t>Prosperity Party</t>
  </si>
  <si>
    <t>2018-2021; 2021-+</t>
  </si>
  <si>
    <t>Beshasha</t>
  </si>
  <si>
    <t>Taye Atake Selassie</t>
  </si>
  <si>
    <t>Federal Presidential Representative Democratic Republic</t>
  </si>
  <si>
    <t>Gender of Head</t>
  </si>
  <si>
    <t>Male</t>
  </si>
  <si>
    <t>Female</t>
  </si>
  <si>
    <t>Claudia Sheinbaum</t>
  </si>
  <si>
    <t>Title of Ceremonial Head</t>
  </si>
  <si>
    <t>Morena (Movimiento de Regeneracion Nacional)</t>
  </si>
  <si>
    <t>Pan</t>
  </si>
  <si>
    <t>Unitary Constitutional Monarchy with a Parliamentary Democracy</t>
  </si>
  <si>
    <t>Sanae Takaichi</t>
  </si>
  <si>
    <t>Liberal Democratic Party</t>
  </si>
  <si>
    <t>2025-+</t>
  </si>
  <si>
    <t>Nara</t>
  </si>
  <si>
    <t>Emperor</t>
  </si>
  <si>
    <t>Naruhito</t>
  </si>
  <si>
    <t>2019-+</t>
  </si>
  <si>
    <t>Unitary Semi-Presidential Republic</t>
  </si>
  <si>
    <t>Abdel Fattah el-Sisi</t>
  </si>
  <si>
    <t>Mostafa Madbouly</t>
  </si>
  <si>
    <t>Unaffiliated</t>
  </si>
  <si>
    <t>Education Index</t>
  </si>
  <si>
    <t>No. Of Schools</t>
  </si>
  <si>
    <t>Percentage of Private Schools</t>
  </si>
  <si>
    <t>School Density</t>
  </si>
  <si>
    <t>School-on-population density</t>
  </si>
  <si>
    <t>No. of Colleges and University</t>
  </si>
  <si>
    <t>Percentage of Private Universities</t>
  </si>
  <si>
    <t>College density</t>
  </si>
  <si>
    <t>College-on-population density</t>
  </si>
  <si>
    <t>School-on-preteen-population density</t>
  </si>
  <si>
    <t>College-on-student-population density</t>
  </si>
  <si>
    <t>Current Population</t>
  </si>
  <si>
    <t>Current Urban Population</t>
  </si>
  <si>
    <t>Male Population</t>
  </si>
  <si>
    <t>Female Population</t>
  </si>
  <si>
    <t>Urban Population Percent</t>
  </si>
  <si>
    <t>Sex Ratio</t>
  </si>
  <si>
    <t>Recordeed Sex Rate</t>
  </si>
  <si>
    <t>Other Gender Population</t>
  </si>
  <si>
    <t>Male Pre-adolescent Population</t>
  </si>
  <si>
    <t>Female Pre-adolescent Population</t>
  </si>
  <si>
    <t>Female School Attendence Percent</t>
  </si>
  <si>
    <t>Male Young-adolescent Population</t>
  </si>
  <si>
    <t>Female Young-adolescent Population</t>
  </si>
  <si>
    <t>Female College Attendence Percent</t>
  </si>
  <si>
    <t>Working population (25-60)</t>
  </si>
  <si>
    <t>Young adolescnet population (19-30)</t>
  </si>
  <si>
    <t>Pre-adolescent Population (&lt; 19)</t>
  </si>
  <si>
    <t>Senior Population (60 &lt;)</t>
  </si>
  <si>
    <t>Percentage of Private Colleges</t>
  </si>
  <si>
    <t>2014-2018; 2018-2024; 2024-+</t>
  </si>
  <si>
    <t>2018-2024; 2024-+</t>
  </si>
  <si>
    <t>No. of Teachers in schools</t>
  </si>
  <si>
    <t>No. of Teachers in Colleges/ Univ\</t>
  </si>
  <si>
    <t>Teachers/School Students</t>
  </si>
  <si>
    <t>Teachers / College Students</t>
  </si>
  <si>
    <t>Literacy Rate</t>
  </si>
  <si>
    <t>Male Employment</t>
  </si>
  <si>
    <t>Female Employment</t>
  </si>
  <si>
    <t>Male Working Population</t>
  </si>
  <si>
    <t>Female Working Population</t>
  </si>
  <si>
    <t>Male Working Percent</t>
  </si>
  <si>
    <t>Female Working Percent</t>
  </si>
  <si>
    <t>Employment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</si>
</sst>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b/>
      <i/>
      <sz val="11"/>
      <color theme="1"/>
      <name val="Aptos Narrow"/>
      <family val="2"/>
      <scheme val="minor"/>
    </font>
    <font>
      <sz val="8"/>
      <name val="Aptos Narrow"/>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2" fillId="0" borderId="0" xfId="0" applyFont="1" applyAlignment="1">
      <alignment horizontal="center" vertical="center"/>
    </xf>
    <xf numFmtId="0" fontId="0" fillId="0" borderId="0" xfId="0" applyAlignment="1">
      <alignment horizontal="center" vertical="center"/>
    </xf>
    <xf numFmtId="0" fontId="1" fillId="0" borderId="0" xfId="0" applyFont="1" applyAlignment="1">
      <alignment horizontal="center" vertical="center"/>
    </xf>
    <xf numFmtId="0" fontId="2" fillId="0" borderId="0" xfId="0" applyFont="1"/>
    <xf numFmtId="0" fontId="1" fillId="0" borderId="1" xfId="0" applyFont="1"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0" xfId="0" applyAlignment="1">
      <alignment horizontal="center" vertical="center" wrapText="1"/>
    </xf>
    <xf numFmtId="14" fontId="0" fillId="0" borderId="1" xfId="0" applyNumberFormat="1" applyBorder="1" applyAlignment="1">
      <alignment horizontal="center" vertical="center"/>
    </xf>
    <xf numFmtId="0" fontId="1" fillId="0" borderId="1" xfId="0" applyFont="1" applyBorder="1" applyAlignment="1">
      <alignment horizontal="center" vertical="center" wrapText="1"/>
    </xf>
    <xf numFmtId="0" fontId="1" fillId="0" borderId="0" xfId="0" applyFont="1"/>
    <xf numFmtId="2" fontId="0" fillId="0" borderId="1" xfId="0" applyNumberFormat="1" applyBorder="1" applyAlignment="1">
      <alignment horizontal="center" vertical="center"/>
    </xf>
    <xf numFmtId="2" fontId="0" fillId="0" borderId="0" xfId="0" applyNumberFormat="1"/>
  </cellXfs>
  <cellStyles count="1">
    <cellStyle name="Normal" xfId="0" builtinId="0"/>
  </cellStyles>
  <dxfs count="1">
    <dxf>
      <fill>
        <patternFill>
          <bgColor rgb="FF92D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001BA-3394-407A-9D2E-2E383C3345D7}">
  <dimension ref="A1:AP209"/>
  <sheetViews>
    <sheetView workbookViewId="0">
      <pane xSplit="1" ySplit="1" topLeftCell="Q4" activePane="bottomRight" state="frozen"/>
      <selection pane="topRight" activeCell="B1" sqref="B1"/>
      <selection pane="bottomLeft" activeCell="A2" sqref="A2"/>
      <selection pane="bottomRight" activeCell="U6" sqref="U6"/>
    </sheetView>
  </sheetViews>
  <sheetFormatPr defaultRowHeight="14.4" x14ac:dyDescent="0.3"/>
  <cols>
    <col min="1" max="1" width="24.77734375" style="2" bestFit="1" customWidth="1"/>
    <col min="2" max="2" width="13.88671875" style="2" bestFit="1" customWidth="1"/>
    <col min="3" max="3" width="45.33203125" style="2" bestFit="1" customWidth="1"/>
    <col min="4" max="4" width="30.109375" style="2" bestFit="1" customWidth="1"/>
    <col min="5" max="5" width="13.33203125" style="2" bestFit="1" customWidth="1"/>
    <col min="6" max="6" width="13.88671875" style="2" bestFit="1" customWidth="1"/>
    <col min="7" max="7" width="12.5546875" style="2" bestFit="1" customWidth="1"/>
    <col min="8" max="8" width="20.88671875" style="2" bestFit="1" customWidth="1"/>
    <col min="9" max="9" width="15.21875" style="2" bestFit="1" customWidth="1"/>
    <col min="10" max="10" width="16.33203125" style="2" bestFit="1" customWidth="1"/>
    <col min="11" max="11" width="5.109375" style="2" bestFit="1" customWidth="1"/>
    <col min="12" max="12" width="19.109375" style="2" bestFit="1" customWidth="1"/>
    <col min="13" max="13" width="14" style="2" bestFit="1" customWidth="1"/>
    <col min="14" max="14" width="15.5546875" style="2" bestFit="1" customWidth="1"/>
    <col min="15" max="15" width="15.5546875" style="2" customWidth="1"/>
    <col min="16" max="16" width="8.6640625" style="2" bestFit="1" customWidth="1"/>
    <col min="17" max="17" width="15.21875" style="2" bestFit="1" customWidth="1"/>
    <col min="18" max="18" width="16.33203125" style="2" bestFit="1" customWidth="1"/>
    <col min="19" max="19" width="24.33203125" style="2" bestFit="1" customWidth="1"/>
    <col min="20" max="20" width="22.33203125" style="2" bestFit="1" customWidth="1"/>
    <col min="21" max="21" width="13.6640625" style="2" bestFit="1" customWidth="1"/>
    <col min="22" max="22" width="20.33203125" style="2" bestFit="1" customWidth="1"/>
    <col min="23" max="24" width="16.33203125" style="2" bestFit="1" customWidth="1"/>
    <col min="25" max="25" width="14.21875" style="2" bestFit="1" customWidth="1"/>
    <col min="26" max="26" width="16.6640625" style="2" bestFit="1" customWidth="1"/>
    <col min="27" max="27" width="15.44140625" style="2" bestFit="1" customWidth="1"/>
    <col min="28" max="28" width="22.21875" style="2" bestFit="1" customWidth="1"/>
    <col min="29" max="29" width="14.77734375" style="2" bestFit="1" customWidth="1"/>
    <col min="30" max="30" width="21.44140625" style="2" bestFit="1" customWidth="1"/>
    <col min="31" max="31" width="8.44140625" style="2" bestFit="1" customWidth="1"/>
    <col min="32" max="32" width="19.44140625" style="2" bestFit="1" customWidth="1"/>
    <col min="33" max="33" width="18.44140625" style="2" bestFit="1" customWidth="1"/>
    <col min="34" max="35" width="10.88671875" style="2" bestFit="1" customWidth="1"/>
    <col min="36" max="36" width="4.77734375" style="2" bestFit="1" customWidth="1"/>
    <col min="37" max="37" width="16.33203125" style="2" bestFit="1" customWidth="1"/>
    <col min="38" max="38" width="26.33203125" style="2" bestFit="1" customWidth="1"/>
    <col min="39" max="39" width="11.109375" style="2" bestFit="1" customWidth="1"/>
    <col min="40" max="40" width="14.33203125" style="2" bestFit="1" customWidth="1"/>
    <col min="41" max="42" width="111.109375" style="2" customWidth="1"/>
    <col min="43" max="16384" width="8.88671875" style="2"/>
  </cols>
  <sheetData>
    <row r="1" spans="1:42" s="3" customFormat="1" ht="28.8" x14ac:dyDescent="0.3">
      <c r="A1" s="5" t="s">
        <v>1</v>
      </c>
      <c r="B1" s="5" t="s">
        <v>650</v>
      </c>
      <c r="C1" s="5" t="s">
        <v>657</v>
      </c>
      <c r="D1" s="5" t="s">
        <v>482</v>
      </c>
      <c r="E1" s="5" t="s">
        <v>774</v>
      </c>
      <c r="F1" s="5" t="s">
        <v>964</v>
      </c>
      <c r="G1" s="5" t="s">
        <v>775</v>
      </c>
      <c r="H1" s="5" t="s">
        <v>901</v>
      </c>
      <c r="I1" s="5" t="s">
        <v>917</v>
      </c>
      <c r="J1" s="5" t="s">
        <v>915</v>
      </c>
      <c r="K1" s="5" t="s">
        <v>916</v>
      </c>
      <c r="L1" s="5" t="s">
        <v>921</v>
      </c>
      <c r="M1" s="5" t="s">
        <v>923</v>
      </c>
      <c r="N1" s="5" t="s">
        <v>929</v>
      </c>
      <c r="O1" s="10" t="s">
        <v>968</v>
      </c>
      <c r="P1" s="5" t="s">
        <v>775</v>
      </c>
      <c r="Q1" s="5" t="s">
        <v>917</v>
      </c>
      <c r="R1" s="5" t="s">
        <v>915</v>
      </c>
      <c r="S1" s="5" t="s">
        <v>940</v>
      </c>
      <c r="T1" s="5" t="s">
        <v>939</v>
      </c>
      <c r="U1" s="5" t="s">
        <v>422</v>
      </c>
      <c r="V1" s="5" t="s">
        <v>424</v>
      </c>
      <c r="W1" s="5" t="s">
        <v>436</v>
      </c>
      <c r="X1" s="5" t="s">
        <v>437</v>
      </c>
      <c r="Y1" s="5" t="s">
        <v>438</v>
      </c>
      <c r="Z1" s="5" t="s">
        <v>425</v>
      </c>
      <c r="AA1" s="5" t="s">
        <v>426</v>
      </c>
      <c r="AB1" s="5" t="s">
        <v>427</v>
      </c>
      <c r="AC1" s="5" t="s">
        <v>428</v>
      </c>
      <c r="AD1" s="5" t="s">
        <v>429</v>
      </c>
      <c r="AE1" s="5" t="s">
        <v>431</v>
      </c>
      <c r="AF1" s="5" t="s">
        <v>432</v>
      </c>
      <c r="AG1" s="5" t="s">
        <v>513</v>
      </c>
      <c r="AH1" s="5" t="s">
        <v>433</v>
      </c>
      <c r="AI1" s="5" t="s">
        <v>434</v>
      </c>
      <c r="AJ1" s="5" t="s">
        <v>435</v>
      </c>
      <c r="AK1" s="5" t="s">
        <v>442</v>
      </c>
      <c r="AL1" s="5" t="s">
        <v>441</v>
      </c>
      <c r="AM1" s="5" t="s">
        <v>445</v>
      </c>
      <c r="AN1" s="5" t="s">
        <v>983</v>
      </c>
      <c r="AO1" s="5" t="s">
        <v>656</v>
      </c>
    </row>
    <row r="2" spans="1:42" ht="100.8" x14ac:dyDescent="0.3">
      <c r="A2" s="6" t="s">
        <v>3</v>
      </c>
      <c r="B2" s="6" t="s">
        <v>651</v>
      </c>
      <c r="C2" s="7" t="s">
        <v>667</v>
      </c>
      <c r="D2" s="7" t="s">
        <v>900</v>
      </c>
      <c r="E2" s="6" t="s">
        <v>902</v>
      </c>
      <c r="F2" s="6" t="s">
        <v>965</v>
      </c>
      <c r="G2" s="6" t="s">
        <v>903</v>
      </c>
      <c r="H2" s="6" t="s">
        <v>904</v>
      </c>
      <c r="I2" s="6">
        <v>2024</v>
      </c>
      <c r="J2" s="7" t="s">
        <v>918</v>
      </c>
      <c r="K2" s="6">
        <v>12</v>
      </c>
      <c r="L2" s="7" t="s">
        <v>350</v>
      </c>
      <c r="M2" s="7" t="s">
        <v>924</v>
      </c>
      <c r="N2" s="7" t="s">
        <v>937</v>
      </c>
      <c r="O2" s="7" t="s">
        <v>966</v>
      </c>
      <c r="P2" s="7" t="s">
        <v>907</v>
      </c>
      <c r="Q2" s="7">
        <v>2022</v>
      </c>
      <c r="R2" s="7" t="s">
        <v>938</v>
      </c>
      <c r="S2" s="7"/>
      <c r="T2" s="7"/>
      <c r="U2" s="6">
        <v>2973193</v>
      </c>
      <c r="V2" s="6"/>
      <c r="W2" s="6"/>
      <c r="X2" s="6"/>
      <c r="Y2" s="6" t="str">
        <f>IF(X2="", "", ((W2-X2)/X2)*100)</f>
        <v/>
      </c>
      <c r="Z2" s="6"/>
      <c r="AA2" s="6"/>
      <c r="AB2" s="6"/>
      <c r="AC2" s="6"/>
      <c r="AD2" s="6"/>
      <c r="AE2" s="6"/>
      <c r="AF2" s="6"/>
      <c r="AG2" s="6"/>
      <c r="AH2" s="6"/>
      <c r="AI2" s="6"/>
      <c r="AJ2" s="6" t="str">
        <f>IF(AI2="", "", ((AH2-AI2)/AI2)*100)</f>
        <v/>
      </c>
      <c r="AK2" s="6"/>
      <c r="AL2" s="6"/>
      <c r="AM2" s="6"/>
      <c r="AN2" s="6"/>
      <c r="AO2" s="7" t="s">
        <v>670</v>
      </c>
      <c r="AP2" s="8"/>
    </row>
    <row r="3" spans="1:42" ht="144" x14ac:dyDescent="0.3">
      <c r="A3" s="6" t="s">
        <v>5</v>
      </c>
      <c r="B3" s="6" t="s">
        <v>651</v>
      </c>
      <c r="C3" s="7" t="s">
        <v>866</v>
      </c>
      <c r="D3" s="7" t="s">
        <v>905</v>
      </c>
      <c r="E3" s="6" t="s">
        <v>906</v>
      </c>
      <c r="F3" s="6" t="s">
        <v>965</v>
      </c>
      <c r="G3" s="6" t="s">
        <v>907</v>
      </c>
      <c r="H3" s="7" t="s">
        <v>908</v>
      </c>
      <c r="I3" s="7">
        <v>2023</v>
      </c>
      <c r="J3" s="7" t="s">
        <v>919</v>
      </c>
      <c r="K3" s="7">
        <v>13</v>
      </c>
      <c r="L3" s="7" t="s">
        <v>922</v>
      </c>
      <c r="M3" s="7" t="s">
        <v>926</v>
      </c>
      <c r="N3" s="7" t="s">
        <v>892</v>
      </c>
      <c r="O3" s="7" t="s">
        <v>892</v>
      </c>
      <c r="P3" s="7" t="s">
        <v>892</v>
      </c>
      <c r="Q3" s="7" t="s">
        <v>892</v>
      </c>
      <c r="R3" s="7" t="s">
        <v>892</v>
      </c>
      <c r="S3" s="7"/>
      <c r="T3" s="7"/>
      <c r="U3" s="6">
        <v>9388211</v>
      </c>
      <c r="V3" s="6"/>
      <c r="W3" s="6"/>
      <c r="X3" s="6"/>
      <c r="Y3" s="6" t="str">
        <f t="shared" ref="Y3:Y26" si="0">IF(X3="", "", ((W3-X3)/X3)*100)</f>
        <v/>
      </c>
      <c r="Z3" s="6"/>
      <c r="AA3" s="6"/>
      <c r="AB3" s="6"/>
      <c r="AC3" s="6"/>
      <c r="AD3" s="6"/>
      <c r="AE3" s="6"/>
      <c r="AF3" s="6"/>
      <c r="AG3" s="6"/>
      <c r="AH3" s="6"/>
      <c r="AI3" s="6"/>
      <c r="AJ3" s="6" t="str">
        <f t="shared" ref="AJ3:AJ66" si="1">IF(AI3="", "", ((AH3-AI3)/AI3)*100)</f>
        <v/>
      </c>
      <c r="AK3" s="6"/>
      <c r="AL3" s="6"/>
      <c r="AM3" s="6"/>
      <c r="AN3" s="6"/>
      <c r="AO3" s="7" t="s">
        <v>680</v>
      </c>
    </row>
    <row r="4" spans="1:42" ht="57.6" x14ac:dyDescent="0.3">
      <c r="A4" s="6" t="s">
        <v>430</v>
      </c>
      <c r="B4" s="6" t="s">
        <v>652</v>
      </c>
      <c r="C4" s="7" t="s">
        <v>729</v>
      </c>
      <c r="D4" s="7" t="s">
        <v>909</v>
      </c>
      <c r="E4" s="6" t="s">
        <v>910</v>
      </c>
      <c r="F4" s="6" t="s">
        <v>965</v>
      </c>
      <c r="G4" s="6" t="s">
        <v>907</v>
      </c>
      <c r="H4" s="6" t="s">
        <v>911</v>
      </c>
      <c r="I4" s="6">
        <v>2025</v>
      </c>
      <c r="J4" s="6" t="s">
        <v>920</v>
      </c>
      <c r="K4" s="6">
        <v>6</v>
      </c>
      <c r="L4" s="6" t="s">
        <v>970</v>
      </c>
      <c r="M4" s="6" t="s">
        <v>925</v>
      </c>
      <c r="N4" s="7" t="s">
        <v>892</v>
      </c>
      <c r="O4" s="7" t="s">
        <v>892</v>
      </c>
      <c r="P4" s="7" t="s">
        <v>892</v>
      </c>
      <c r="Q4" s="7" t="s">
        <v>892</v>
      </c>
      <c r="R4" s="7" t="s">
        <v>892</v>
      </c>
      <c r="S4" s="7"/>
      <c r="T4" s="7"/>
      <c r="U4" s="6">
        <v>9147120</v>
      </c>
      <c r="V4" s="6"/>
      <c r="W4" s="6"/>
      <c r="X4" s="6"/>
      <c r="Y4" s="6" t="str">
        <f t="shared" si="0"/>
        <v/>
      </c>
      <c r="Z4" s="6"/>
      <c r="AA4" s="6"/>
      <c r="AB4" s="6"/>
      <c r="AC4" s="6"/>
      <c r="AD4" s="6"/>
      <c r="AE4" s="6"/>
      <c r="AF4" s="6"/>
      <c r="AG4" s="6"/>
      <c r="AH4" s="6"/>
      <c r="AI4" s="6"/>
      <c r="AJ4" s="6" t="str">
        <f t="shared" si="1"/>
        <v/>
      </c>
      <c r="AK4" s="6"/>
      <c r="AL4" s="6"/>
      <c r="AM4" s="6"/>
      <c r="AN4" s="6"/>
      <c r="AO4" s="7" t="s">
        <v>678</v>
      </c>
    </row>
    <row r="5" spans="1:42" ht="86.4" x14ac:dyDescent="0.3">
      <c r="A5" s="6" t="s">
        <v>13</v>
      </c>
      <c r="B5" s="6" t="s">
        <v>651</v>
      </c>
      <c r="C5" s="7" t="s">
        <v>671</v>
      </c>
      <c r="D5" s="7" t="s">
        <v>912</v>
      </c>
      <c r="E5" s="7" t="s">
        <v>913</v>
      </c>
      <c r="F5" s="7" t="s">
        <v>965</v>
      </c>
      <c r="G5" s="6" t="s">
        <v>907</v>
      </c>
      <c r="H5" s="7" t="s">
        <v>914</v>
      </c>
      <c r="I5" s="7">
        <v>2024</v>
      </c>
      <c r="J5" s="7" t="s">
        <v>927</v>
      </c>
      <c r="K5" s="7">
        <v>2</v>
      </c>
      <c r="L5" s="6" t="s">
        <v>970</v>
      </c>
      <c r="M5" s="7" t="s">
        <v>12</v>
      </c>
      <c r="N5" s="7" t="s">
        <v>892</v>
      </c>
      <c r="O5" s="7" t="s">
        <v>892</v>
      </c>
      <c r="P5" s="7" t="s">
        <v>892</v>
      </c>
      <c r="Q5" s="7" t="s">
        <v>892</v>
      </c>
      <c r="R5" s="7" t="s">
        <v>892</v>
      </c>
      <c r="S5" s="7"/>
      <c r="T5" s="7"/>
      <c r="U5" s="6">
        <v>1811569</v>
      </c>
      <c r="V5" s="6"/>
      <c r="W5" s="6"/>
      <c r="X5" s="6"/>
      <c r="Y5" s="6" t="str">
        <f t="shared" si="0"/>
        <v/>
      </c>
      <c r="Z5" s="6"/>
      <c r="AA5" s="6"/>
      <c r="AB5" s="6"/>
      <c r="AC5" s="6"/>
      <c r="AD5" s="6"/>
      <c r="AE5" s="6"/>
      <c r="AF5" s="6"/>
      <c r="AG5" s="6"/>
      <c r="AH5" s="6"/>
      <c r="AI5" s="6"/>
      <c r="AJ5" s="6" t="str">
        <f t="shared" si="1"/>
        <v/>
      </c>
      <c r="AK5" s="6"/>
      <c r="AL5" s="6"/>
      <c r="AM5" s="6"/>
      <c r="AN5" s="6"/>
      <c r="AO5" s="7" t="s">
        <v>669</v>
      </c>
    </row>
    <row r="6" spans="1:42" ht="28.8" x14ac:dyDescent="0.3">
      <c r="A6" s="6" t="s">
        <v>72</v>
      </c>
      <c r="B6" s="6" t="s">
        <v>651</v>
      </c>
      <c r="C6" s="6" t="s">
        <v>672</v>
      </c>
      <c r="D6" s="6" t="s">
        <v>928</v>
      </c>
      <c r="E6" s="6" t="s">
        <v>930</v>
      </c>
      <c r="F6" s="6" t="s">
        <v>965</v>
      </c>
      <c r="G6" s="6" t="s">
        <v>903</v>
      </c>
      <c r="H6" s="7" t="s">
        <v>931</v>
      </c>
      <c r="I6" s="6">
        <v>2024</v>
      </c>
      <c r="J6" s="6" t="s">
        <v>933</v>
      </c>
      <c r="K6" s="6">
        <v>4</v>
      </c>
      <c r="L6" s="6" t="s">
        <v>934</v>
      </c>
      <c r="M6" s="6" t="s">
        <v>935</v>
      </c>
      <c r="N6" s="6" t="s">
        <v>932</v>
      </c>
      <c r="O6" s="6" t="s">
        <v>965</v>
      </c>
      <c r="P6" s="6" t="s">
        <v>907</v>
      </c>
      <c r="Q6" s="6">
        <v>2024</v>
      </c>
      <c r="R6" s="6" t="s">
        <v>936</v>
      </c>
      <c r="S6" s="6"/>
      <c r="T6" s="6"/>
      <c r="U6" s="6"/>
      <c r="V6" s="6"/>
      <c r="W6" s="6"/>
      <c r="X6" s="6"/>
      <c r="Y6" s="6" t="str">
        <f t="shared" si="0"/>
        <v/>
      </c>
      <c r="Z6" s="6"/>
      <c r="AA6" s="6"/>
      <c r="AB6" s="6"/>
      <c r="AC6" s="6"/>
      <c r="AD6" s="6"/>
      <c r="AE6" s="6"/>
      <c r="AF6" s="6"/>
      <c r="AG6" s="6"/>
      <c r="AH6" s="6"/>
      <c r="AI6" s="6"/>
      <c r="AJ6" s="6" t="str">
        <f t="shared" si="1"/>
        <v/>
      </c>
      <c r="AK6" s="6"/>
      <c r="AL6" s="6"/>
      <c r="AM6" s="6"/>
      <c r="AN6" s="6"/>
      <c r="AO6" s="6"/>
    </row>
    <row r="7" spans="1:42" ht="28.8" x14ac:dyDescent="0.3">
      <c r="A7" s="6" t="s">
        <v>16</v>
      </c>
      <c r="B7" s="6" t="s">
        <v>653</v>
      </c>
      <c r="C7" s="7" t="s">
        <v>673</v>
      </c>
      <c r="D7" s="6" t="s">
        <v>928</v>
      </c>
      <c r="E7" s="7" t="s">
        <v>941</v>
      </c>
      <c r="F7" s="7" t="s">
        <v>965</v>
      </c>
      <c r="G7" s="6" t="s">
        <v>907</v>
      </c>
      <c r="H7" s="7" t="s">
        <v>942</v>
      </c>
      <c r="I7" s="6">
        <v>2023</v>
      </c>
      <c r="J7" s="6" t="s">
        <v>943</v>
      </c>
      <c r="K7" s="6">
        <v>3</v>
      </c>
      <c r="L7" s="6" t="s">
        <v>970</v>
      </c>
      <c r="M7" s="6" t="s">
        <v>15</v>
      </c>
      <c r="N7" s="6" t="s">
        <v>892</v>
      </c>
      <c r="O7" s="6" t="s">
        <v>892</v>
      </c>
      <c r="P7" s="6" t="s">
        <v>892</v>
      </c>
      <c r="Q7" s="6" t="s">
        <v>892</v>
      </c>
      <c r="R7" s="6" t="s">
        <v>892</v>
      </c>
      <c r="S7" s="6"/>
      <c r="T7" s="6"/>
      <c r="U7" s="6"/>
      <c r="V7" s="6"/>
      <c r="W7" s="6"/>
      <c r="X7" s="6"/>
      <c r="Y7" s="6" t="str">
        <f t="shared" si="0"/>
        <v/>
      </c>
      <c r="Z7" s="6"/>
      <c r="AA7" s="6"/>
      <c r="AB7" s="6"/>
      <c r="AC7" s="6"/>
      <c r="AD7" s="6"/>
      <c r="AE7" s="6"/>
      <c r="AF7" s="6"/>
      <c r="AG7" s="6"/>
      <c r="AH7" s="6"/>
      <c r="AI7" s="6"/>
      <c r="AJ7" s="6" t="str">
        <f t="shared" si="1"/>
        <v/>
      </c>
      <c r="AK7" s="6"/>
      <c r="AL7" s="6"/>
      <c r="AM7" s="6"/>
      <c r="AN7" s="6"/>
      <c r="AO7" s="6"/>
    </row>
    <row r="8" spans="1:42" ht="43.2" x14ac:dyDescent="0.3">
      <c r="A8" s="6" t="s">
        <v>19</v>
      </c>
      <c r="B8" s="6" t="s">
        <v>654</v>
      </c>
      <c r="C8" s="7" t="s">
        <v>676</v>
      </c>
      <c r="D8" s="7" t="s">
        <v>909</v>
      </c>
      <c r="E8" s="7" t="s">
        <v>944</v>
      </c>
      <c r="F8" s="7" t="s">
        <v>965</v>
      </c>
      <c r="G8" s="6" t="s">
        <v>907</v>
      </c>
      <c r="H8" s="7" t="s">
        <v>945</v>
      </c>
      <c r="I8" s="6">
        <v>2023</v>
      </c>
      <c r="J8" s="7" t="s">
        <v>946</v>
      </c>
      <c r="K8" s="6">
        <v>3</v>
      </c>
      <c r="L8" s="6" t="s">
        <v>970</v>
      </c>
      <c r="M8" s="6" t="s">
        <v>947</v>
      </c>
      <c r="N8" s="6" t="s">
        <v>892</v>
      </c>
      <c r="O8" s="6" t="s">
        <v>892</v>
      </c>
      <c r="P8" s="6" t="s">
        <v>892</v>
      </c>
      <c r="Q8" s="6" t="s">
        <v>892</v>
      </c>
      <c r="R8" s="6" t="s">
        <v>892</v>
      </c>
      <c r="S8" s="6"/>
      <c r="T8" s="6"/>
      <c r="U8" s="6"/>
      <c r="V8" s="6"/>
      <c r="W8" s="6"/>
      <c r="X8" s="6"/>
      <c r="Y8" s="6" t="str">
        <f t="shared" si="0"/>
        <v/>
      </c>
      <c r="Z8" s="6"/>
      <c r="AA8" s="6"/>
      <c r="AB8" s="6"/>
      <c r="AC8" s="6"/>
      <c r="AD8" s="6"/>
      <c r="AE8" s="6"/>
      <c r="AF8" s="6"/>
      <c r="AG8" s="6"/>
      <c r="AH8" s="6"/>
      <c r="AI8" s="6"/>
      <c r="AJ8" s="6" t="str">
        <f t="shared" si="1"/>
        <v/>
      </c>
      <c r="AK8" s="6"/>
      <c r="AL8" s="6"/>
      <c r="AM8" s="6"/>
      <c r="AN8" s="6"/>
      <c r="AO8" s="7" t="s">
        <v>677</v>
      </c>
    </row>
    <row r="9" spans="1:42" ht="43.2" x14ac:dyDescent="0.3">
      <c r="A9" s="6" t="s">
        <v>24</v>
      </c>
      <c r="B9" s="6" t="s">
        <v>651</v>
      </c>
      <c r="C9" s="6" t="s">
        <v>679</v>
      </c>
      <c r="D9" s="7" t="s">
        <v>948</v>
      </c>
      <c r="E9" s="7" t="s">
        <v>949</v>
      </c>
      <c r="F9" s="7" t="s">
        <v>965</v>
      </c>
      <c r="G9" s="6" t="s">
        <v>903</v>
      </c>
      <c r="H9" s="7" t="s">
        <v>950</v>
      </c>
      <c r="I9" s="6">
        <v>2026</v>
      </c>
      <c r="J9" s="6" t="s">
        <v>952</v>
      </c>
      <c r="K9" s="6">
        <v>1</v>
      </c>
      <c r="L9" s="6" t="s">
        <v>23</v>
      </c>
      <c r="M9" s="6" t="s">
        <v>23</v>
      </c>
      <c r="N9" s="7" t="s">
        <v>951</v>
      </c>
      <c r="O9" s="7" t="s">
        <v>965</v>
      </c>
      <c r="P9" s="6" t="s">
        <v>907</v>
      </c>
      <c r="Q9" s="6">
        <v>2026</v>
      </c>
      <c r="R9" s="6" t="s">
        <v>952</v>
      </c>
      <c r="S9" s="6"/>
      <c r="T9" s="6"/>
      <c r="U9" s="6"/>
      <c r="V9" s="6"/>
      <c r="W9" s="6"/>
      <c r="X9" s="6"/>
      <c r="Y9" s="6" t="str">
        <f t="shared" si="0"/>
        <v/>
      </c>
      <c r="Z9" s="6"/>
      <c r="AA9" s="6"/>
      <c r="AB9" s="6"/>
      <c r="AC9" s="6"/>
      <c r="AD9" s="6"/>
      <c r="AE9" s="6"/>
      <c r="AF9" s="6"/>
      <c r="AG9" s="6"/>
      <c r="AH9" s="6"/>
      <c r="AI9" s="6"/>
      <c r="AJ9" s="6" t="str">
        <f t="shared" si="1"/>
        <v/>
      </c>
      <c r="AK9" s="6"/>
      <c r="AL9" s="6"/>
      <c r="AM9" s="6"/>
      <c r="AN9" s="6"/>
      <c r="AO9" s="6"/>
    </row>
    <row r="10" spans="1:42" ht="72" x14ac:dyDescent="0.3">
      <c r="A10" s="6" t="s">
        <v>27</v>
      </c>
      <c r="B10" s="6" t="s">
        <v>655</v>
      </c>
      <c r="C10" s="7" t="s">
        <v>789</v>
      </c>
      <c r="D10" s="6" t="s">
        <v>953</v>
      </c>
      <c r="E10" s="6" t="s">
        <v>954</v>
      </c>
      <c r="F10" s="6" t="s">
        <v>965</v>
      </c>
      <c r="G10" s="6" t="s">
        <v>907</v>
      </c>
      <c r="H10" s="6" t="s">
        <v>955</v>
      </c>
      <c r="I10" s="6">
        <v>2012</v>
      </c>
      <c r="J10" s="6" t="s">
        <v>956</v>
      </c>
      <c r="K10" s="6">
        <v>14</v>
      </c>
      <c r="L10" s="6" t="s">
        <v>970</v>
      </c>
      <c r="M10" s="6" t="s">
        <v>957</v>
      </c>
      <c r="N10" s="6" t="s">
        <v>892</v>
      </c>
      <c r="O10" s="6" t="s">
        <v>892</v>
      </c>
      <c r="P10" s="6" t="s">
        <v>892</v>
      </c>
      <c r="Q10" s="6" t="s">
        <v>892</v>
      </c>
      <c r="R10" s="6" t="s">
        <v>892</v>
      </c>
      <c r="S10" s="6"/>
      <c r="T10" s="6"/>
      <c r="U10" s="6"/>
      <c r="V10" s="6"/>
      <c r="W10" s="6"/>
      <c r="X10" s="6"/>
      <c r="Y10" s="6" t="str">
        <f t="shared" si="0"/>
        <v/>
      </c>
      <c r="Z10" s="6"/>
      <c r="AA10" s="6"/>
      <c r="AB10" s="6"/>
      <c r="AC10" s="6"/>
      <c r="AD10" s="6"/>
      <c r="AE10" s="6"/>
      <c r="AF10" s="6"/>
      <c r="AG10" s="6"/>
      <c r="AH10" s="6"/>
      <c r="AI10" s="6"/>
      <c r="AJ10" s="6" t="str">
        <f t="shared" si="1"/>
        <v/>
      </c>
      <c r="AK10" s="6"/>
      <c r="AL10" s="6"/>
      <c r="AM10" s="6"/>
      <c r="AN10" s="6"/>
      <c r="AO10" s="7" t="s">
        <v>681</v>
      </c>
    </row>
    <row r="11" spans="1:42" ht="28.8" x14ac:dyDescent="0.3">
      <c r="A11" s="6" t="s">
        <v>32</v>
      </c>
      <c r="B11" s="6" t="s">
        <v>653</v>
      </c>
      <c r="C11" s="6" t="s">
        <v>683</v>
      </c>
      <c r="D11" s="6" t="s">
        <v>928</v>
      </c>
      <c r="E11" s="9" t="s">
        <v>958</v>
      </c>
      <c r="F11" s="9" t="s">
        <v>965</v>
      </c>
      <c r="G11" s="6" t="s">
        <v>903</v>
      </c>
      <c r="H11" s="6" t="s">
        <v>959</v>
      </c>
      <c r="I11" s="6">
        <v>2021</v>
      </c>
      <c r="J11" s="6" t="s">
        <v>960</v>
      </c>
      <c r="K11" s="6">
        <v>5</v>
      </c>
      <c r="L11" s="6" t="s">
        <v>961</v>
      </c>
      <c r="M11" s="6" t="s">
        <v>961</v>
      </c>
      <c r="N11" s="7" t="s">
        <v>962</v>
      </c>
      <c r="O11" s="7" t="s">
        <v>965</v>
      </c>
      <c r="P11" s="6" t="s">
        <v>907</v>
      </c>
      <c r="Q11" s="6">
        <v>2024</v>
      </c>
      <c r="R11" s="6" t="s">
        <v>927</v>
      </c>
      <c r="S11" s="6"/>
      <c r="T11" s="6"/>
      <c r="U11" s="6"/>
      <c r="V11" s="6"/>
      <c r="W11" s="6"/>
      <c r="X11" s="6"/>
      <c r="Y11" s="6" t="str">
        <f t="shared" si="0"/>
        <v/>
      </c>
      <c r="Z11" s="6"/>
      <c r="AA11" s="6"/>
      <c r="AB11" s="6"/>
      <c r="AC11" s="6"/>
      <c r="AD11" s="6"/>
      <c r="AE11" s="6"/>
      <c r="AF11" s="6"/>
      <c r="AG11" s="6"/>
      <c r="AH11" s="6"/>
      <c r="AI11" s="6"/>
      <c r="AJ11" s="6" t="str">
        <f t="shared" si="1"/>
        <v/>
      </c>
      <c r="AK11" s="6"/>
      <c r="AL11" s="6"/>
      <c r="AM11" s="6"/>
      <c r="AN11" s="6"/>
      <c r="AO11" s="6"/>
    </row>
    <row r="12" spans="1:42" ht="28.8" x14ac:dyDescent="0.3">
      <c r="A12" s="6" t="s">
        <v>35</v>
      </c>
      <c r="B12" s="6" t="s">
        <v>652</v>
      </c>
      <c r="C12" s="6" t="s">
        <v>684</v>
      </c>
      <c r="D12" s="7" t="s">
        <v>963</v>
      </c>
      <c r="E12" s="7" t="s">
        <v>967</v>
      </c>
      <c r="F12" s="6" t="s">
        <v>966</v>
      </c>
      <c r="G12" s="6" t="s">
        <v>907</v>
      </c>
      <c r="H12" s="7" t="s">
        <v>969</v>
      </c>
      <c r="I12" s="6">
        <v>2024</v>
      </c>
      <c r="J12" s="6" t="s">
        <v>927</v>
      </c>
      <c r="K12" s="6">
        <v>2</v>
      </c>
      <c r="L12" s="6" t="s">
        <v>970</v>
      </c>
      <c r="M12" s="6" t="s">
        <v>34</v>
      </c>
      <c r="N12" s="6" t="s">
        <v>892</v>
      </c>
      <c r="O12" s="6" t="s">
        <v>892</v>
      </c>
      <c r="P12" s="6" t="s">
        <v>892</v>
      </c>
      <c r="Q12" s="6" t="s">
        <v>892</v>
      </c>
      <c r="R12" s="6" t="s">
        <v>892</v>
      </c>
      <c r="S12" s="6"/>
      <c r="T12" s="6"/>
      <c r="U12" s="6"/>
      <c r="V12" s="6"/>
      <c r="W12" s="6"/>
      <c r="X12" s="6"/>
      <c r="Y12" s="6" t="str">
        <f t="shared" si="0"/>
        <v/>
      </c>
      <c r="Z12" s="6"/>
      <c r="AA12" s="6"/>
      <c r="AB12" s="6"/>
      <c r="AC12" s="6"/>
      <c r="AD12" s="6"/>
      <c r="AE12" s="6"/>
      <c r="AF12" s="6"/>
      <c r="AG12" s="6"/>
      <c r="AH12" s="6"/>
      <c r="AI12" s="6"/>
      <c r="AJ12" s="6" t="str">
        <f t="shared" si="1"/>
        <v/>
      </c>
      <c r="AK12" s="6"/>
      <c r="AL12" s="6"/>
      <c r="AM12" s="6"/>
      <c r="AN12" s="6"/>
      <c r="AO12" s="6"/>
    </row>
    <row r="13" spans="1:42" ht="72" x14ac:dyDescent="0.3">
      <c r="A13" s="6" t="s">
        <v>40</v>
      </c>
      <c r="B13" s="6" t="s">
        <v>651</v>
      </c>
      <c r="C13" s="7" t="s">
        <v>685</v>
      </c>
      <c r="D13" s="7" t="s">
        <v>971</v>
      </c>
      <c r="E13" s="6" t="s">
        <v>972</v>
      </c>
      <c r="F13" s="6" t="s">
        <v>966</v>
      </c>
      <c r="G13" s="6" t="s">
        <v>903</v>
      </c>
      <c r="H13" s="6" t="s">
        <v>973</v>
      </c>
      <c r="I13" s="6">
        <v>2025</v>
      </c>
      <c r="J13" s="6" t="s">
        <v>974</v>
      </c>
      <c r="K13" s="6">
        <v>1</v>
      </c>
      <c r="L13" s="6" t="s">
        <v>975</v>
      </c>
      <c r="M13" s="6" t="s">
        <v>975</v>
      </c>
      <c r="N13" s="6" t="s">
        <v>977</v>
      </c>
      <c r="O13" s="6" t="s">
        <v>965</v>
      </c>
      <c r="P13" s="6" t="s">
        <v>976</v>
      </c>
      <c r="Q13" s="6">
        <v>2019</v>
      </c>
      <c r="R13" s="6" t="s">
        <v>978</v>
      </c>
      <c r="S13" s="6"/>
      <c r="T13" s="6"/>
      <c r="U13" s="6"/>
      <c r="V13" s="6"/>
      <c r="W13" s="6"/>
      <c r="X13" s="6"/>
      <c r="Y13" s="6" t="str">
        <f t="shared" si="0"/>
        <v/>
      </c>
      <c r="Z13" s="6"/>
      <c r="AA13" s="6"/>
      <c r="AB13" s="6"/>
      <c r="AC13" s="6"/>
      <c r="AD13" s="6"/>
      <c r="AE13" s="6"/>
      <c r="AF13" s="6"/>
      <c r="AG13" s="6"/>
      <c r="AH13" s="6"/>
      <c r="AI13" s="6"/>
      <c r="AJ13" s="6" t="str">
        <f t="shared" si="1"/>
        <v/>
      </c>
      <c r="AK13" s="6"/>
      <c r="AL13" s="6"/>
      <c r="AM13" s="6"/>
      <c r="AN13" s="6"/>
      <c r="AO13" s="7" t="s">
        <v>686</v>
      </c>
    </row>
    <row r="14" spans="1:42" ht="28.8" x14ac:dyDescent="0.3">
      <c r="A14" s="6" t="s">
        <v>43</v>
      </c>
      <c r="B14" s="6" t="s">
        <v>658</v>
      </c>
      <c r="C14" s="7" t="s">
        <v>847</v>
      </c>
      <c r="D14" s="6" t="s">
        <v>979</v>
      </c>
      <c r="E14" s="7" t="s">
        <v>980</v>
      </c>
      <c r="F14" s="6" t="s">
        <v>965</v>
      </c>
      <c r="G14" s="6" t="s">
        <v>907</v>
      </c>
      <c r="H14" s="6" t="s">
        <v>982</v>
      </c>
      <c r="I14" s="6">
        <v>2024</v>
      </c>
      <c r="J14" s="7" t="s">
        <v>1013</v>
      </c>
      <c r="K14" s="6">
        <v>2</v>
      </c>
      <c r="L14" s="6" t="s">
        <v>970</v>
      </c>
      <c r="M14" s="6" t="s">
        <v>42</v>
      </c>
      <c r="N14" s="6" t="s">
        <v>981</v>
      </c>
      <c r="O14" s="6" t="s">
        <v>965</v>
      </c>
      <c r="P14" s="7" t="s">
        <v>903</v>
      </c>
      <c r="Q14" s="6">
        <v>2024</v>
      </c>
      <c r="R14" s="6" t="s">
        <v>1014</v>
      </c>
      <c r="S14" s="6"/>
      <c r="T14" s="6"/>
      <c r="U14" s="6"/>
      <c r="V14" s="6"/>
      <c r="W14" s="6"/>
      <c r="X14" s="6"/>
      <c r="Y14" s="6" t="str">
        <f t="shared" si="0"/>
        <v/>
      </c>
      <c r="Z14" s="6"/>
      <c r="AA14" s="6"/>
      <c r="AB14" s="6"/>
      <c r="AC14" s="6"/>
      <c r="AD14" s="6"/>
      <c r="AE14" s="6"/>
      <c r="AF14" s="6"/>
      <c r="AG14" s="6"/>
      <c r="AH14" s="6"/>
      <c r="AI14" s="6"/>
      <c r="AJ14" s="6" t="str">
        <f t="shared" si="1"/>
        <v/>
      </c>
      <c r="AK14" s="6"/>
      <c r="AL14" s="6"/>
      <c r="AM14" s="6"/>
      <c r="AN14" s="6"/>
      <c r="AO14" s="7" t="s">
        <v>659</v>
      </c>
    </row>
    <row r="15" spans="1:42" x14ac:dyDescent="0.3">
      <c r="A15" s="6" t="s">
        <v>439</v>
      </c>
      <c r="B15" s="6" t="s">
        <v>651</v>
      </c>
      <c r="C15" s="6" t="s">
        <v>687</v>
      </c>
      <c r="D15" s="6"/>
      <c r="E15" s="6"/>
      <c r="F15" s="6"/>
      <c r="G15" s="6"/>
      <c r="H15" s="6"/>
      <c r="I15" s="6"/>
      <c r="J15" s="6"/>
      <c r="K15" s="6"/>
      <c r="L15" s="6"/>
      <c r="M15" s="6"/>
      <c r="N15" s="6"/>
      <c r="O15" s="6"/>
      <c r="P15" s="6"/>
      <c r="Q15" s="6"/>
      <c r="R15" s="6"/>
      <c r="S15" s="6"/>
      <c r="T15" s="6"/>
      <c r="U15" s="6"/>
      <c r="V15" s="6"/>
      <c r="W15" s="6"/>
      <c r="X15" s="6"/>
      <c r="Y15" s="6" t="str">
        <f t="shared" si="0"/>
        <v/>
      </c>
      <c r="Z15" s="6"/>
      <c r="AA15" s="6"/>
      <c r="AB15" s="6"/>
      <c r="AC15" s="6"/>
      <c r="AD15" s="6"/>
      <c r="AE15" s="6"/>
      <c r="AF15" s="6"/>
      <c r="AG15" s="6"/>
      <c r="AH15" s="6"/>
      <c r="AI15" s="6"/>
      <c r="AJ15" s="6" t="str">
        <f t="shared" si="1"/>
        <v/>
      </c>
      <c r="AK15" s="6"/>
      <c r="AL15" s="6"/>
      <c r="AM15" s="6"/>
      <c r="AN15" s="6"/>
      <c r="AO15" s="6"/>
    </row>
    <row r="16" spans="1:42" ht="28.8" x14ac:dyDescent="0.3">
      <c r="A16" s="6" t="s">
        <v>51</v>
      </c>
      <c r="B16" s="6" t="s">
        <v>653</v>
      </c>
      <c r="C16" s="7" t="s">
        <v>688</v>
      </c>
      <c r="D16" s="6"/>
      <c r="E16" s="6"/>
      <c r="F16" s="6"/>
      <c r="G16" s="6"/>
      <c r="H16" s="6"/>
      <c r="I16" s="6"/>
      <c r="J16" s="6"/>
      <c r="K16" s="6"/>
      <c r="L16" s="6"/>
      <c r="M16" s="6"/>
      <c r="N16" s="6"/>
      <c r="O16" s="6"/>
      <c r="P16" s="6"/>
      <c r="Q16" s="6"/>
      <c r="R16" s="6"/>
      <c r="S16" s="6"/>
      <c r="T16" s="6"/>
      <c r="U16" s="6"/>
      <c r="V16" s="6"/>
      <c r="W16" s="6"/>
      <c r="X16" s="6"/>
      <c r="Y16" s="6" t="str">
        <f t="shared" si="0"/>
        <v/>
      </c>
      <c r="Z16" s="6"/>
      <c r="AA16" s="6"/>
      <c r="AB16" s="6"/>
      <c r="AC16" s="6"/>
      <c r="AD16" s="6"/>
      <c r="AE16" s="6"/>
      <c r="AF16" s="6"/>
      <c r="AG16" s="6"/>
      <c r="AH16" s="6"/>
      <c r="AI16" s="6"/>
      <c r="AJ16" s="6" t="str">
        <f t="shared" si="1"/>
        <v/>
      </c>
      <c r="AK16" s="6"/>
      <c r="AL16" s="6"/>
      <c r="AM16" s="6"/>
      <c r="AN16" s="6"/>
      <c r="AO16" s="6"/>
    </row>
    <row r="17" spans="1:41" ht="28.8" x14ac:dyDescent="0.3">
      <c r="A17" s="6" t="s">
        <v>56</v>
      </c>
      <c r="B17" s="6" t="s">
        <v>651</v>
      </c>
      <c r="C17" s="7" t="s">
        <v>867</v>
      </c>
      <c r="D17" s="6"/>
      <c r="E17" s="6"/>
      <c r="F17" s="6"/>
      <c r="G17" s="6"/>
      <c r="H17" s="6"/>
      <c r="I17" s="6"/>
      <c r="J17" s="6"/>
      <c r="K17" s="6"/>
      <c r="L17" s="6"/>
      <c r="M17" s="6"/>
      <c r="N17" s="6"/>
      <c r="O17" s="6"/>
      <c r="P17" s="6"/>
      <c r="Q17" s="6"/>
      <c r="R17" s="6"/>
      <c r="S17" s="6"/>
      <c r="T17" s="6"/>
      <c r="U17" s="6"/>
      <c r="V17" s="6"/>
      <c r="W17" s="6"/>
      <c r="X17" s="6"/>
      <c r="Y17" s="6" t="str">
        <f t="shared" si="0"/>
        <v/>
      </c>
      <c r="Z17" s="6"/>
      <c r="AA17" s="6"/>
      <c r="AB17" s="6"/>
      <c r="AC17" s="6"/>
      <c r="AD17" s="6"/>
      <c r="AE17" s="6"/>
      <c r="AF17" s="6"/>
      <c r="AG17" s="6"/>
      <c r="AH17" s="6"/>
      <c r="AI17" s="6"/>
      <c r="AJ17" s="6" t="str">
        <f t="shared" si="1"/>
        <v/>
      </c>
      <c r="AK17" s="6"/>
      <c r="AL17" s="6"/>
      <c r="AM17" s="6"/>
      <c r="AN17" s="6"/>
      <c r="AO17" s="6"/>
    </row>
    <row r="18" spans="1:41" ht="43.2" x14ac:dyDescent="0.3">
      <c r="A18" s="6" t="s">
        <v>59</v>
      </c>
      <c r="B18" s="6" t="s">
        <v>651</v>
      </c>
      <c r="C18" s="7" t="s">
        <v>790</v>
      </c>
      <c r="D18" s="6"/>
      <c r="E18" s="6"/>
      <c r="F18" s="6"/>
      <c r="G18" s="6"/>
      <c r="H18" s="6"/>
      <c r="I18" s="6"/>
      <c r="J18" s="6"/>
      <c r="K18" s="6"/>
      <c r="L18" s="6"/>
      <c r="M18" s="6"/>
      <c r="N18" s="6"/>
      <c r="O18" s="6"/>
      <c r="P18" s="6"/>
      <c r="Q18" s="6"/>
      <c r="R18" s="6"/>
      <c r="S18" s="6"/>
      <c r="T18" s="6"/>
      <c r="U18" s="6"/>
      <c r="V18" s="6"/>
      <c r="W18" s="6"/>
      <c r="X18" s="6"/>
      <c r="Y18" s="6" t="str">
        <f t="shared" si="0"/>
        <v/>
      </c>
      <c r="Z18" s="6"/>
      <c r="AA18" s="6"/>
      <c r="AB18" s="6"/>
      <c r="AC18" s="6"/>
      <c r="AD18" s="6"/>
      <c r="AE18" s="6"/>
      <c r="AF18" s="6"/>
      <c r="AG18" s="6"/>
      <c r="AH18" s="6"/>
      <c r="AI18" s="6"/>
      <c r="AJ18" s="6" t="str">
        <f t="shared" si="1"/>
        <v/>
      </c>
      <c r="AK18" s="6"/>
      <c r="AL18" s="6"/>
      <c r="AM18" s="6"/>
      <c r="AN18" s="6"/>
      <c r="AO18" s="6"/>
    </row>
    <row r="19" spans="1:41" ht="43.2" x14ac:dyDescent="0.3">
      <c r="A19" s="6" t="s">
        <v>64</v>
      </c>
      <c r="B19" s="6" t="s">
        <v>660</v>
      </c>
      <c r="C19" s="7" t="s">
        <v>689</v>
      </c>
      <c r="D19" s="6"/>
      <c r="E19" s="6"/>
      <c r="F19" s="6"/>
      <c r="G19" s="6"/>
      <c r="H19" s="6"/>
      <c r="I19" s="6"/>
      <c r="J19" s="6"/>
      <c r="K19" s="6"/>
      <c r="L19" s="6"/>
      <c r="M19" s="6"/>
      <c r="N19" s="6"/>
      <c r="O19" s="6"/>
      <c r="P19" s="6"/>
      <c r="Q19" s="6"/>
      <c r="R19" s="6"/>
      <c r="S19" s="6"/>
      <c r="T19" s="6"/>
      <c r="U19" s="6"/>
      <c r="V19" s="6"/>
      <c r="W19" s="6"/>
      <c r="X19" s="6"/>
      <c r="Y19" s="6" t="str">
        <f t="shared" si="0"/>
        <v/>
      </c>
      <c r="Z19" s="6"/>
      <c r="AA19" s="6"/>
      <c r="AB19" s="6"/>
      <c r="AC19" s="6"/>
      <c r="AD19" s="6"/>
      <c r="AE19" s="6"/>
      <c r="AF19" s="6"/>
      <c r="AG19" s="6"/>
      <c r="AH19" s="6"/>
      <c r="AI19" s="6"/>
      <c r="AJ19" s="6" t="str">
        <f t="shared" si="1"/>
        <v/>
      </c>
      <c r="AK19" s="6"/>
      <c r="AL19" s="6"/>
      <c r="AM19" s="6"/>
      <c r="AN19" s="6"/>
      <c r="AO19" s="7" t="s">
        <v>690</v>
      </c>
    </row>
    <row r="20" spans="1:41" ht="43.2" x14ac:dyDescent="0.3">
      <c r="A20" s="6" t="s">
        <v>67</v>
      </c>
      <c r="B20" s="6" t="s">
        <v>661</v>
      </c>
      <c r="C20" s="7" t="s">
        <v>783</v>
      </c>
      <c r="D20" s="6"/>
      <c r="E20" s="6"/>
      <c r="F20" s="6"/>
      <c r="G20" s="6"/>
      <c r="H20" s="6"/>
      <c r="I20" s="6"/>
      <c r="J20" s="6"/>
      <c r="K20" s="6"/>
      <c r="L20" s="6"/>
      <c r="M20" s="6"/>
      <c r="N20" s="6"/>
      <c r="O20" s="6"/>
      <c r="P20" s="6"/>
      <c r="Q20" s="6"/>
      <c r="R20" s="6"/>
      <c r="S20" s="6"/>
      <c r="T20" s="6"/>
      <c r="U20" s="6"/>
      <c r="V20" s="6"/>
      <c r="W20" s="6"/>
      <c r="X20" s="6"/>
      <c r="Y20" s="6" t="str">
        <f t="shared" si="0"/>
        <v/>
      </c>
      <c r="Z20" s="6"/>
      <c r="AA20" s="6"/>
      <c r="AB20" s="6"/>
      <c r="AC20" s="6"/>
      <c r="AD20" s="6"/>
      <c r="AE20" s="6"/>
      <c r="AF20" s="6"/>
      <c r="AG20" s="6"/>
      <c r="AH20" s="6"/>
      <c r="AI20" s="6"/>
      <c r="AJ20" s="6" t="str">
        <f t="shared" si="1"/>
        <v/>
      </c>
      <c r="AK20" s="6"/>
      <c r="AL20" s="6"/>
      <c r="AM20" s="6"/>
      <c r="AN20" s="6"/>
      <c r="AO20" s="6"/>
    </row>
    <row r="21" spans="1:41" ht="28.8" x14ac:dyDescent="0.3">
      <c r="A21" s="6" t="s">
        <v>75</v>
      </c>
      <c r="B21" s="6" t="s">
        <v>653</v>
      </c>
      <c r="C21" s="7" t="s">
        <v>691</v>
      </c>
      <c r="D21" s="6"/>
      <c r="E21" s="6"/>
      <c r="F21" s="6"/>
      <c r="G21" s="6"/>
      <c r="H21" s="6"/>
      <c r="I21" s="6"/>
      <c r="J21" s="6"/>
      <c r="K21" s="6"/>
      <c r="L21" s="6"/>
      <c r="M21" s="6"/>
      <c r="N21" s="6"/>
      <c r="O21" s="6"/>
      <c r="P21" s="6"/>
      <c r="Q21" s="6"/>
      <c r="R21" s="6"/>
      <c r="S21" s="6"/>
      <c r="T21" s="6"/>
      <c r="U21" s="6"/>
      <c r="V21" s="6"/>
      <c r="W21" s="6"/>
      <c r="X21" s="6"/>
      <c r="Y21" s="6" t="str">
        <f t="shared" si="0"/>
        <v/>
      </c>
      <c r="Z21" s="6"/>
      <c r="AA21" s="6"/>
      <c r="AB21" s="6"/>
      <c r="AC21" s="6"/>
      <c r="AD21" s="6"/>
      <c r="AE21" s="6"/>
      <c r="AF21" s="6"/>
      <c r="AG21" s="6"/>
      <c r="AH21" s="6"/>
      <c r="AI21" s="6"/>
      <c r="AJ21" s="6" t="str">
        <f t="shared" si="1"/>
        <v/>
      </c>
      <c r="AK21" s="6"/>
      <c r="AL21" s="6"/>
      <c r="AM21" s="6"/>
      <c r="AN21" s="6"/>
      <c r="AO21" s="6"/>
    </row>
    <row r="22" spans="1:41" ht="28.8" x14ac:dyDescent="0.3">
      <c r="A22" s="6" t="s">
        <v>80</v>
      </c>
      <c r="B22" s="6" t="s">
        <v>651</v>
      </c>
      <c r="C22" s="7" t="s">
        <v>692</v>
      </c>
      <c r="D22" s="6"/>
      <c r="E22" s="6"/>
      <c r="F22" s="6"/>
      <c r="G22" s="6"/>
      <c r="H22" s="6"/>
      <c r="I22" s="6"/>
      <c r="J22" s="6"/>
      <c r="K22" s="6"/>
      <c r="L22" s="6"/>
      <c r="M22" s="6"/>
      <c r="N22" s="6"/>
      <c r="O22" s="6"/>
      <c r="P22" s="6"/>
      <c r="Q22" s="6"/>
      <c r="R22" s="6"/>
      <c r="S22" s="6"/>
      <c r="T22" s="6"/>
      <c r="U22" s="6"/>
      <c r="V22" s="6"/>
      <c r="W22" s="6"/>
      <c r="X22" s="6"/>
      <c r="Y22" s="6" t="str">
        <f t="shared" si="0"/>
        <v/>
      </c>
      <c r="Z22" s="6"/>
      <c r="AA22" s="6"/>
      <c r="AB22" s="6"/>
      <c r="AC22" s="6"/>
      <c r="AD22" s="6"/>
      <c r="AE22" s="6"/>
      <c r="AF22" s="6"/>
      <c r="AG22" s="6"/>
      <c r="AH22" s="6"/>
      <c r="AI22" s="6"/>
      <c r="AJ22" s="6" t="str">
        <f t="shared" si="1"/>
        <v/>
      </c>
      <c r="AK22" s="6"/>
      <c r="AL22" s="6"/>
      <c r="AM22" s="6"/>
      <c r="AN22" s="6"/>
      <c r="AO22" s="6" t="s">
        <v>693</v>
      </c>
    </row>
    <row r="23" spans="1:41" ht="28.8" x14ac:dyDescent="0.3">
      <c r="A23" s="6" t="s">
        <v>440</v>
      </c>
      <c r="B23" s="6" t="s">
        <v>662</v>
      </c>
      <c r="C23" s="7" t="s">
        <v>870</v>
      </c>
      <c r="D23" s="6"/>
      <c r="E23" s="6"/>
      <c r="F23" s="6"/>
      <c r="G23" s="6"/>
      <c r="H23" s="6"/>
      <c r="I23" s="6"/>
      <c r="J23" s="6"/>
      <c r="K23" s="6"/>
      <c r="L23" s="6"/>
      <c r="M23" s="6"/>
      <c r="N23" s="6"/>
      <c r="O23" s="6"/>
      <c r="P23" s="6"/>
      <c r="Q23" s="6"/>
      <c r="R23" s="6"/>
      <c r="S23" s="6"/>
      <c r="T23" s="6"/>
      <c r="U23" s="6"/>
      <c r="V23" s="6"/>
      <c r="W23" s="6"/>
      <c r="X23" s="6"/>
      <c r="Y23" s="6" t="str">
        <f t="shared" si="0"/>
        <v/>
      </c>
      <c r="Z23" s="6"/>
      <c r="AA23" s="6"/>
      <c r="AB23" s="6"/>
      <c r="AC23" s="6"/>
      <c r="AD23" s="6"/>
      <c r="AE23" s="6"/>
      <c r="AF23" s="6"/>
      <c r="AG23" s="6"/>
      <c r="AH23" s="6"/>
      <c r="AI23" s="6"/>
      <c r="AJ23" s="6" t="str">
        <f t="shared" si="1"/>
        <v/>
      </c>
      <c r="AK23" s="6"/>
      <c r="AL23" s="6"/>
      <c r="AM23" s="6"/>
      <c r="AN23" s="6"/>
      <c r="AO23" s="6"/>
    </row>
    <row r="24" spans="1:41" ht="115.2" x14ac:dyDescent="0.3">
      <c r="A24" s="6" t="s">
        <v>86</v>
      </c>
      <c r="B24" s="6" t="s">
        <v>662</v>
      </c>
      <c r="C24" s="7" t="s">
        <v>701</v>
      </c>
      <c r="D24" s="6"/>
      <c r="E24" s="6"/>
      <c r="F24" s="6"/>
      <c r="G24" s="6"/>
      <c r="H24" s="6"/>
      <c r="I24" s="6"/>
      <c r="J24" s="6"/>
      <c r="K24" s="6"/>
      <c r="L24" s="6"/>
      <c r="M24" s="6"/>
      <c r="N24" s="6"/>
      <c r="O24" s="6"/>
      <c r="P24" s="6"/>
      <c r="Q24" s="6"/>
      <c r="R24" s="6"/>
      <c r="S24" s="6"/>
      <c r="T24" s="6"/>
      <c r="U24" s="6"/>
      <c r="V24" s="6"/>
      <c r="W24" s="6"/>
      <c r="X24" s="6"/>
      <c r="Y24" s="6" t="str">
        <f t="shared" si="0"/>
        <v/>
      </c>
      <c r="Z24" s="6"/>
      <c r="AA24" s="6"/>
      <c r="AB24" s="6"/>
      <c r="AC24" s="6"/>
      <c r="AD24" s="6"/>
      <c r="AE24" s="6"/>
      <c r="AF24" s="6"/>
      <c r="AG24" s="6"/>
      <c r="AH24" s="6"/>
      <c r="AI24" s="6"/>
      <c r="AJ24" s="6" t="str">
        <f t="shared" si="1"/>
        <v/>
      </c>
      <c r="AK24" s="6"/>
      <c r="AL24" s="6"/>
      <c r="AM24" s="6"/>
      <c r="AN24" s="6"/>
      <c r="AO24" s="7" t="s">
        <v>694</v>
      </c>
    </row>
    <row r="25" spans="1:41" ht="28.8" x14ac:dyDescent="0.3">
      <c r="A25" s="6" t="s">
        <v>89</v>
      </c>
      <c r="B25" s="6" t="s">
        <v>653</v>
      </c>
      <c r="C25" s="7" t="s">
        <v>696</v>
      </c>
      <c r="D25" s="6"/>
      <c r="E25" s="6"/>
      <c r="F25" s="6"/>
      <c r="G25" s="6"/>
      <c r="H25" s="6"/>
      <c r="I25" s="6"/>
      <c r="J25" s="6"/>
      <c r="K25" s="6"/>
      <c r="L25" s="6"/>
      <c r="M25" s="6"/>
      <c r="N25" s="6"/>
      <c r="O25" s="6"/>
      <c r="P25" s="6"/>
      <c r="Q25" s="6"/>
      <c r="R25" s="6"/>
      <c r="S25" s="6"/>
      <c r="T25" s="6"/>
      <c r="U25" s="6"/>
      <c r="V25" s="6"/>
      <c r="W25" s="6"/>
      <c r="X25" s="6"/>
      <c r="Y25" s="6" t="str">
        <f t="shared" si="0"/>
        <v/>
      </c>
      <c r="Z25" s="6"/>
      <c r="AA25" s="6"/>
      <c r="AB25" s="6"/>
      <c r="AC25" s="6"/>
      <c r="AD25" s="6"/>
      <c r="AE25" s="6"/>
      <c r="AF25" s="6"/>
      <c r="AG25" s="6"/>
      <c r="AH25" s="6"/>
      <c r="AI25" s="6"/>
      <c r="AJ25" s="6" t="str">
        <f t="shared" si="1"/>
        <v/>
      </c>
      <c r="AK25" s="6"/>
      <c r="AL25" s="6"/>
      <c r="AM25" s="6"/>
      <c r="AN25" s="6"/>
      <c r="AO25" s="7" t="s">
        <v>695</v>
      </c>
    </row>
    <row r="26" spans="1:41" ht="43.2" x14ac:dyDescent="0.3">
      <c r="A26" s="6" t="s">
        <v>92</v>
      </c>
      <c r="B26" s="6" t="s">
        <v>662</v>
      </c>
      <c r="C26" s="7" t="s">
        <v>899</v>
      </c>
      <c r="D26" s="6"/>
      <c r="E26" s="6"/>
      <c r="F26" s="6"/>
      <c r="G26" s="6"/>
      <c r="H26" s="6"/>
      <c r="I26" s="6"/>
      <c r="J26" s="6"/>
      <c r="K26" s="6"/>
      <c r="L26" s="6"/>
      <c r="M26" s="6"/>
      <c r="N26" s="6"/>
      <c r="O26" s="6"/>
      <c r="P26" s="6"/>
      <c r="Q26" s="6"/>
      <c r="R26" s="6"/>
      <c r="S26" s="6"/>
      <c r="T26" s="6"/>
      <c r="U26" s="6"/>
      <c r="V26" s="6"/>
      <c r="W26" s="6"/>
      <c r="X26" s="6"/>
      <c r="Y26" s="6" t="str">
        <f t="shared" si="0"/>
        <v/>
      </c>
      <c r="Z26" s="6"/>
      <c r="AA26" s="6"/>
      <c r="AB26" s="6"/>
      <c r="AC26" s="6"/>
      <c r="AD26" s="6"/>
      <c r="AE26" s="6"/>
      <c r="AF26" s="6"/>
      <c r="AG26" s="6"/>
      <c r="AH26" s="6"/>
      <c r="AI26" s="6"/>
      <c r="AJ26" s="6" t="str">
        <f t="shared" si="1"/>
        <v/>
      </c>
      <c r="AK26" s="6"/>
      <c r="AL26" s="6"/>
      <c r="AM26" s="6"/>
      <c r="AN26" s="6"/>
      <c r="AO26" s="7" t="s">
        <v>697</v>
      </c>
    </row>
    <row r="27" spans="1:41" ht="57.6" x14ac:dyDescent="0.3">
      <c r="A27" s="6" t="s">
        <v>95</v>
      </c>
      <c r="B27" s="6" t="s">
        <v>653</v>
      </c>
      <c r="C27" s="6" t="s">
        <v>698</v>
      </c>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t="str">
        <f t="shared" si="1"/>
        <v/>
      </c>
      <c r="AK27" s="6"/>
      <c r="AL27" s="6"/>
      <c r="AM27" s="6"/>
      <c r="AN27" s="6"/>
      <c r="AO27" s="7" t="s">
        <v>699</v>
      </c>
    </row>
    <row r="28" spans="1:41" x14ac:dyDescent="0.3">
      <c r="A28" s="6" t="s">
        <v>98</v>
      </c>
      <c r="B28" s="6" t="s">
        <v>651</v>
      </c>
      <c r="C28" s="6" t="s">
        <v>700</v>
      </c>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t="str">
        <f t="shared" si="1"/>
        <v/>
      </c>
      <c r="AK28" s="6"/>
      <c r="AL28" s="6"/>
      <c r="AM28" s="6"/>
      <c r="AN28" s="6"/>
      <c r="AO28" s="6"/>
    </row>
    <row r="29" spans="1:41" ht="28.8" x14ac:dyDescent="0.3">
      <c r="A29" s="6" t="s">
        <v>101</v>
      </c>
      <c r="B29" s="6" t="s">
        <v>654</v>
      </c>
      <c r="C29" s="7" t="s">
        <v>702</v>
      </c>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t="str">
        <f t="shared" si="1"/>
        <v/>
      </c>
      <c r="AK29" s="6"/>
      <c r="AL29" s="6"/>
      <c r="AM29" s="6"/>
      <c r="AN29" s="6"/>
      <c r="AO29" s="6"/>
    </row>
    <row r="30" spans="1:41" ht="28.8" x14ac:dyDescent="0.3">
      <c r="A30" s="6" t="s">
        <v>104</v>
      </c>
      <c r="B30" s="6" t="s">
        <v>653</v>
      </c>
      <c r="C30" s="7" t="s">
        <v>703</v>
      </c>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t="str">
        <f t="shared" si="1"/>
        <v/>
      </c>
      <c r="AK30" s="6"/>
      <c r="AL30" s="6"/>
      <c r="AM30" s="6"/>
      <c r="AN30" s="6"/>
      <c r="AO30" s="6"/>
    </row>
    <row r="31" spans="1:41" x14ac:dyDescent="0.3">
      <c r="A31" s="6" t="s">
        <v>107</v>
      </c>
      <c r="B31" s="6" t="s">
        <v>653</v>
      </c>
      <c r="C31" s="6" t="s">
        <v>704</v>
      </c>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t="str">
        <f t="shared" si="1"/>
        <v/>
      </c>
      <c r="AK31" s="6"/>
      <c r="AL31" s="6"/>
      <c r="AM31" s="6"/>
      <c r="AN31" s="6"/>
      <c r="AO31" s="6"/>
    </row>
    <row r="32" spans="1:41" x14ac:dyDescent="0.3">
      <c r="A32" s="6" t="s">
        <v>111</v>
      </c>
      <c r="B32" s="6" t="s">
        <v>651</v>
      </c>
      <c r="C32" s="6" t="s">
        <v>705</v>
      </c>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t="str">
        <f t="shared" si="1"/>
        <v/>
      </c>
      <c r="AK32" s="6"/>
      <c r="AL32" s="6"/>
      <c r="AM32" s="6"/>
      <c r="AN32" s="6"/>
      <c r="AO32" s="6"/>
    </row>
    <row r="33" spans="1:41" ht="28.8" x14ac:dyDescent="0.3">
      <c r="A33" s="6" t="s">
        <v>114</v>
      </c>
      <c r="B33" s="6" t="s">
        <v>653</v>
      </c>
      <c r="C33" s="7" t="s">
        <v>706</v>
      </c>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t="str">
        <f t="shared" si="1"/>
        <v/>
      </c>
      <c r="AK33" s="6"/>
      <c r="AL33" s="6"/>
      <c r="AM33" s="6"/>
      <c r="AN33" s="6"/>
      <c r="AO33" s="6"/>
    </row>
    <row r="34" spans="1:41" x14ac:dyDescent="0.3">
      <c r="A34" s="6" t="s">
        <v>266</v>
      </c>
      <c r="B34" s="6" t="s">
        <v>651</v>
      </c>
      <c r="C34" s="6" t="s">
        <v>707</v>
      </c>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t="str">
        <f t="shared" si="1"/>
        <v/>
      </c>
      <c r="AK34" s="6"/>
      <c r="AL34" s="6"/>
      <c r="AM34" s="6"/>
      <c r="AN34" s="6"/>
      <c r="AO34" s="6"/>
    </row>
    <row r="35" spans="1:41" ht="28.8" x14ac:dyDescent="0.3">
      <c r="A35" s="6" t="s">
        <v>269</v>
      </c>
      <c r="B35" s="6" t="s">
        <v>662</v>
      </c>
      <c r="C35" s="6" t="s">
        <v>708</v>
      </c>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t="str">
        <f t="shared" si="1"/>
        <v/>
      </c>
      <c r="AK35" s="6"/>
      <c r="AL35" s="6"/>
      <c r="AM35" s="6"/>
      <c r="AN35" s="6"/>
      <c r="AO35" s="7" t="s">
        <v>709</v>
      </c>
    </row>
    <row r="36" spans="1:41" x14ac:dyDescent="0.3">
      <c r="A36" s="6" t="s">
        <v>117</v>
      </c>
      <c r="B36" s="6" t="s">
        <v>654</v>
      </c>
      <c r="C36" s="6" t="s">
        <v>710</v>
      </c>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t="str">
        <f t="shared" si="1"/>
        <v/>
      </c>
      <c r="AK36" s="6"/>
      <c r="AL36" s="6"/>
      <c r="AM36" s="6"/>
      <c r="AN36" s="6"/>
      <c r="AO36" s="6" t="s">
        <v>711</v>
      </c>
    </row>
    <row r="37" spans="1:41" ht="28.8" x14ac:dyDescent="0.3">
      <c r="A37" s="6" t="s">
        <v>120</v>
      </c>
      <c r="B37" s="6" t="s">
        <v>651</v>
      </c>
      <c r="C37" s="7" t="s">
        <v>712</v>
      </c>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t="str">
        <f t="shared" si="1"/>
        <v/>
      </c>
      <c r="AK37" s="6"/>
      <c r="AL37" s="6"/>
      <c r="AM37" s="6"/>
      <c r="AN37" s="6"/>
      <c r="AO37" s="6"/>
    </row>
    <row r="38" spans="1:41" x14ac:dyDescent="0.3">
      <c r="A38" s="6" t="s">
        <v>123</v>
      </c>
      <c r="B38" s="6" t="s">
        <v>651</v>
      </c>
      <c r="C38" s="6" t="s">
        <v>713</v>
      </c>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t="str">
        <f t="shared" si="1"/>
        <v/>
      </c>
      <c r="AK38" s="6"/>
      <c r="AL38" s="6"/>
      <c r="AM38" s="6"/>
      <c r="AN38" s="6"/>
      <c r="AO38" s="6"/>
    </row>
    <row r="39" spans="1:41" ht="28.8" x14ac:dyDescent="0.3">
      <c r="A39" s="6" t="s">
        <v>10</v>
      </c>
      <c r="B39" s="6" t="s">
        <v>652</v>
      </c>
      <c r="C39" s="6" t="s">
        <v>714</v>
      </c>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t="str">
        <f t="shared" si="1"/>
        <v/>
      </c>
      <c r="AK39" s="6"/>
      <c r="AL39" s="6"/>
      <c r="AM39" s="6"/>
      <c r="AN39" s="6"/>
      <c r="AO39" s="7" t="s">
        <v>715</v>
      </c>
    </row>
    <row r="40" spans="1:41" x14ac:dyDescent="0.3">
      <c r="A40" s="6" t="s">
        <v>465</v>
      </c>
      <c r="B40" s="6" t="s">
        <v>653</v>
      </c>
      <c r="C40" s="6" t="s">
        <v>716</v>
      </c>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t="str">
        <f t="shared" si="1"/>
        <v/>
      </c>
      <c r="AK40" s="6"/>
      <c r="AL40" s="6"/>
      <c r="AM40" s="6"/>
      <c r="AN40" s="6"/>
      <c r="AO40" s="6"/>
    </row>
    <row r="41" spans="1:41" ht="28.8" x14ac:dyDescent="0.3">
      <c r="A41" s="6" t="s">
        <v>466</v>
      </c>
      <c r="B41" s="6" t="s">
        <v>662</v>
      </c>
      <c r="C41" s="7" t="s">
        <v>822</v>
      </c>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t="str">
        <f t="shared" si="1"/>
        <v/>
      </c>
      <c r="AK41" s="6"/>
      <c r="AL41" s="6"/>
      <c r="AM41" s="6"/>
      <c r="AN41" s="6"/>
      <c r="AO41" s="6"/>
    </row>
    <row r="42" spans="1:41" x14ac:dyDescent="0.3">
      <c r="A42" s="6" t="s">
        <v>467</v>
      </c>
      <c r="B42" s="6" t="s">
        <v>653</v>
      </c>
      <c r="C42" s="6" t="s">
        <v>811</v>
      </c>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t="str">
        <f t="shared" si="1"/>
        <v/>
      </c>
      <c r="AK42" s="6"/>
      <c r="AL42" s="6"/>
      <c r="AM42" s="6"/>
      <c r="AN42" s="6"/>
      <c r="AO42" s="6" t="s">
        <v>717</v>
      </c>
    </row>
    <row r="43" spans="1:41" ht="28.8" x14ac:dyDescent="0.3">
      <c r="A43" s="6" t="s">
        <v>470</v>
      </c>
      <c r="B43" s="6" t="s">
        <v>662</v>
      </c>
      <c r="C43" s="7" t="s">
        <v>718</v>
      </c>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t="str">
        <f t="shared" si="1"/>
        <v/>
      </c>
      <c r="AK43" s="6"/>
      <c r="AL43" s="6"/>
      <c r="AM43" s="6"/>
      <c r="AN43" s="6"/>
      <c r="AO43" s="6"/>
    </row>
    <row r="44" spans="1:41" ht="28.8" x14ac:dyDescent="0.3">
      <c r="A44" s="6" t="s">
        <v>471</v>
      </c>
      <c r="B44" s="6" t="s">
        <v>651</v>
      </c>
      <c r="C44" s="7" t="s">
        <v>719</v>
      </c>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t="str">
        <f t="shared" si="1"/>
        <v/>
      </c>
      <c r="AK44" s="6"/>
      <c r="AL44" s="6"/>
      <c r="AM44" s="6"/>
      <c r="AN44" s="6"/>
      <c r="AO44" s="6"/>
    </row>
    <row r="45" spans="1:41" ht="28.8" x14ac:dyDescent="0.3">
      <c r="A45" s="6" t="s">
        <v>472</v>
      </c>
      <c r="B45" s="6" t="s">
        <v>653</v>
      </c>
      <c r="C45" s="7" t="s">
        <v>720</v>
      </c>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t="str">
        <f t="shared" si="1"/>
        <v/>
      </c>
      <c r="AK45" s="6"/>
      <c r="AL45" s="6"/>
      <c r="AM45" s="6"/>
      <c r="AN45" s="6"/>
      <c r="AO45" s="7" t="s">
        <v>721</v>
      </c>
    </row>
    <row r="46" spans="1:41" ht="28.8" x14ac:dyDescent="0.3">
      <c r="A46" s="6" t="s">
        <v>473</v>
      </c>
      <c r="B46" s="6" t="s">
        <v>651</v>
      </c>
      <c r="C46" s="7" t="s">
        <v>722</v>
      </c>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t="str">
        <f t="shared" si="1"/>
        <v/>
      </c>
      <c r="AK46" s="6"/>
      <c r="AL46" s="6"/>
      <c r="AM46" s="6"/>
      <c r="AN46" s="6"/>
      <c r="AO46" s="7" t="s">
        <v>723</v>
      </c>
    </row>
    <row r="47" spans="1:41" x14ac:dyDescent="0.3">
      <c r="A47" s="6" t="s">
        <v>474</v>
      </c>
      <c r="B47" s="6" t="s">
        <v>653</v>
      </c>
      <c r="C47" s="6" t="s">
        <v>755</v>
      </c>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t="str">
        <f t="shared" si="1"/>
        <v/>
      </c>
      <c r="AK47" s="6"/>
      <c r="AL47" s="6"/>
      <c r="AM47" s="6"/>
      <c r="AN47" s="6"/>
      <c r="AO47" s="6"/>
    </row>
    <row r="48" spans="1:41" ht="43.2" x14ac:dyDescent="0.3">
      <c r="A48" s="6" t="s">
        <v>77</v>
      </c>
      <c r="B48" s="6" t="s">
        <v>651</v>
      </c>
      <c r="C48" s="7" t="s">
        <v>779</v>
      </c>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t="str">
        <f t="shared" si="1"/>
        <v/>
      </c>
      <c r="AK48" s="6"/>
      <c r="AL48" s="6"/>
      <c r="AM48" s="6"/>
      <c r="AN48" s="6"/>
      <c r="AO48" s="7" t="s">
        <v>780</v>
      </c>
    </row>
    <row r="49" spans="1:41" x14ac:dyDescent="0.3">
      <c r="A49" s="6" t="s">
        <v>475</v>
      </c>
      <c r="B49" s="6" t="s">
        <v>654</v>
      </c>
      <c r="C49" s="6" t="s">
        <v>724</v>
      </c>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t="str">
        <f t="shared" si="1"/>
        <v/>
      </c>
      <c r="AK49" s="6"/>
      <c r="AL49" s="6"/>
      <c r="AM49" s="6"/>
      <c r="AN49" s="6"/>
      <c r="AO49" s="6"/>
    </row>
    <row r="50" spans="1:41" ht="86.4" x14ac:dyDescent="0.3">
      <c r="A50" s="6" t="s">
        <v>476</v>
      </c>
      <c r="B50" s="6" t="s">
        <v>653</v>
      </c>
      <c r="C50" s="6" t="s">
        <v>852</v>
      </c>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t="str">
        <f t="shared" si="1"/>
        <v/>
      </c>
      <c r="AK50" s="6"/>
      <c r="AL50" s="6"/>
      <c r="AM50" s="6"/>
      <c r="AN50" s="6"/>
      <c r="AO50" s="7" t="s">
        <v>853</v>
      </c>
    </row>
    <row r="51" spans="1:41" x14ac:dyDescent="0.3">
      <c r="A51" s="6" t="s">
        <v>477</v>
      </c>
      <c r="B51" s="6" t="s">
        <v>653</v>
      </c>
      <c r="C51" s="6" t="s">
        <v>725</v>
      </c>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t="str">
        <f t="shared" si="1"/>
        <v/>
      </c>
      <c r="AK51" s="6"/>
      <c r="AL51" s="6"/>
      <c r="AM51" s="6"/>
      <c r="AN51" s="6"/>
      <c r="AO51" s="6"/>
    </row>
    <row r="52" spans="1:41" x14ac:dyDescent="0.3">
      <c r="A52" s="6" t="s">
        <v>478</v>
      </c>
      <c r="B52" s="6" t="s">
        <v>653</v>
      </c>
      <c r="C52" s="6" t="s">
        <v>726</v>
      </c>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t="str">
        <f t="shared" si="1"/>
        <v/>
      </c>
      <c r="AK52" s="6"/>
      <c r="AL52" s="6"/>
      <c r="AM52" s="6"/>
      <c r="AN52" s="6"/>
      <c r="AO52" s="6"/>
    </row>
    <row r="53" spans="1:41" x14ac:dyDescent="0.3">
      <c r="A53" s="6" t="s">
        <v>479</v>
      </c>
      <c r="B53" s="6" t="s">
        <v>651</v>
      </c>
      <c r="C53" s="6" t="s">
        <v>668</v>
      </c>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t="str">
        <f t="shared" si="1"/>
        <v/>
      </c>
      <c r="AK53" s="6"/>
      <c r="AL53" s="6"/>
      <c r="AM53" s="6"/>
      <c r="AN53" s="6"/>
      <c r="AO53" s="6"/>
    </row>
    <row r="54" spans="1:41" x14ac:dyDescent="0.3">
      <c r="A54" s="6" t="s">
        <v>480</v>
      </c>
      <c r="B54" s="6" t="s">
        <v>653</v>
      </c>
      <c r="C54" s="6" t="s">
        <v>727</v>
      </c>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t="str">
        <f t="shared" si="1"/>
        <v/>
      </c>
      <c r="AK54" s="6"/>
      <c r="AL54" s="6"/>
      <c r="AM54" s="6"/>
      <c r="AN54" s="6"/>
      <c r="AO54" s="6"/>
    </row>
    <row r="55" spans="1:41" ht="43.2" x14ac:dyDescent="0.3">
      <c r="A55" s="6" t="s">
        <v>481</v>
      </c>
      <c r="B55" s="6" t="s">
        <v>654</v>
      </c>
      <c r="C55" s="7" t="s">
        <v>730</v>
      </c>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t="str">
        <f t="shared" si="1"/>
        <v/>
      </c>
      <c r="AK55" s="6"/>
      <c r="AL55" s="6"/>
      <c r="AM55" s="6"/>
      <c r="AN55" s="6"/>
      <c r="AO55" s="7" t="s">
        <v>728</v>
      </c>
    </row>
    <row r="56" spans="1:41" ht="28.8" x14ac:dyDescent="0.3">
      <c r="A56" s="6" t="s">
        <v>21</v>
      </c>
      <c r="B56" s="6" t="s">
        <v>21</v>
      </c>
      <c r="C56" s="7" t="s">
        <v>731</v>
      </c>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t="str">
        <f t="shared" si="1"/>
        <v/>
      </c>
      <c r="AK56" s="6"/>
      <c r="AL56" s="6"/>
      <c r="AM56" s="6"/>
      <c r="AN56" s="6"/>
      <c r="AO56" s="6" t="s">
        <v>732</v>
      </c>
    </row>
    <row r="57" spans="1:41" x14ac:dyDescent="0.3">
      <c r="A57" s="6" t="s">
        <v>503</v>
      </c>
      <c r="B57" s="6" t="s">
        <v>651</v>
      </c>
      <c r="C57" s="6" t="s">
        <v>733</v>
      </c>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t="str">
        <f t="shared" si="1"/>
        <v/>
      </c>
      <c r="AK57" s="6"/>
      <c r="AL57" s="6"/>
      <c r="AM57" s="6"/>
      <c r="AN57" s="6"/>
      <c r="AO57" s="6"/>
    </row>
    <row r="58" spans="1:41" x14ac:dyDescent="0.3">
      <c r="A58" s="6" t="s">
        <v>504</v>
      </c>
      <c r="B58" s="6" t="s">
        <v>651</v>
      </c>
      <c r="C58" s="6" t="s">
        <v>734</v>
      </c>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t="str">
        <f t="shared" si="1"/>
        <v/>
      </c>
      <c r="AK58" s="6"/>
      <c r="AL58" s="6"/>
      <c r="AM58" s="6"/>
      <c r="AN58" s="6"/>
      <c r="AO58" s="6"/>
    </row>
    <row r="59" spans="1:41" ht="28.8" x14ac:dyDescent="0.3">
      <c r="A59" s="6" t="s">
        <v>511</v>
      </c>
      <c r="B59" s="6" t="s">
        <v>653</v>
      </c>
      <c r="C59" s="7" t="s">
        <v>735</v>
      </c>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t="str">
        <f t="shared" si="1"/>
        <v/>
      </c>
      <c r="AK59" s="6"/>
      <c r="AL59" s="6"/>
      <c r="AM59" s="6"/>
      <c r="AN59" s="6"/>
      <c r="AO59" s="6"/>
    </row>
    <row r="60" spans="1:41" x14ac:dyDescent="0.3">
      <c r="A60" s="6" t="s">
        <v>512</v>
      </c>
      <c r="B60" s="6" t="s">
        <v>653</v>
      </c>
      <c r="C60" s="6" t="s">
        <v>736</v>
      </c>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t="str">
        <f t="shared" si="1"/>
        <v/>
      </c>
      <c r="AK60" s="6"/>
      <c r="AL60" s="6"/>
      <c r="AM60" s="6"/>
      <c r="AN60" s="6"/>
      <c r="AO60" s="6"/>
    </row>
    <row r="61" spans="1:41" x14ac:dyDescent="0.3">
      <c r="A61" s="6" t="s">
        <v>514</v>
      </c>
      <c r="B61" s="6" t="s">
        <v>651</v>
      </c>
      <c r="C61" s="6" t="s">
        <v>737</v>
      </c>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t="str">
        <f t="shared" si="1"/>
        <v/>
      </c>
      <c r="AK61" s="6"/>
      <c r="AL61" s="6"/>
      <c r="AM61" s="6"/>
      <c r="AN61" s="6"/>
      <c r="AO61" s="6"/>
    </row>
    <row r="62" spans="1:41" x14ac:dyDescent="0.3">
      <c r="A62" s="6" t="s">
        <v>515</v>
      </c>
      <c r="B62" s="6" t="s">
        <v>653</v>
      </c>
      <c r="C62" s="6" t="s">
        <v>739</v>
      </c>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t="str">
        <f t="shared" si="1"/>
        <v/>
      </c>
      <c r="AK62" s="6"/>
      <c r="AL62" s="6"/>
      <c r="AM62" s="6"/>
      <c r="AN62" s="6"/>
      <c r="AO62" s="6"/>
    </row>
    <row r="63" spans="1:41" ht="28.8" x14ac:dyDescent="0.3">
      <c r="A63" s="6" t="s">
        <v>516</v>
      </c>
      <c r="B63" s="6" t="s">
        <v>653</v>
      </c>
      <c r="C63" s="7" t="s">
        <v>740</v>
      </c>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t="str">
        <f t="shared" si="1"/>
        <v/>
      </c>
      <c r="AK63" s="6"/>
      <c r="AL63" s="6"/>
      <c r="AM63" s="6"/>
      <c r="AN63" s="6"/>
      <c r="AO63" s="6"/>
    </row>
    <row r="64" spans="1:41" x14ac:dyDescent="0.3">
      <c r="A64" s="6" t="s">
        <v>517</v>
      </c>
      <c r="B64" s="6" t="s">
        <v>653</v>
      </c>
      <c r="C64" s="6" t="s">
        <v>741</v>
      </c>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t="str">
        <f t="shared" si="1"/>
        <v/>
      </c>
      <c r="AK64" s="6"/>
      <c r="AL64" s="6"/>
      <c r="AM64" s="6"/>
      <c r="AN64" s="6"/>
      <c r="AO64" s="6"/>
    </row>
    <row r="65" spans="1:41" ht="28.8" x14ac:dyDescent="0.3">
      <c r="A65" s="6" t="s">
        <v>518</v>
      </c>
      <c r="B65" s="6" t="s">
        <v>651</v>
      </c>
      <c r="C65" s="7" t="s">
        <v>742</v>
      </c>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t="str">
        <f t="shared" si="1"/>
        <v/>
      </c>
      <c r="AK65" s="6"/>
      <c r="AL65" s="6"/>
      <c r="AM65" s="6"/>
      <c r="AN65" s="6"/>
      <c r="AO65" s="6"/>
    </row>
    <row r="66" spans="1:41" x14ac:dyDescent="0.3">
      <c r="A66" s="6" t="s">
        <v>519</v>
      </c>
      <c r="B66" s="6" t="s">
        <v>653</v>
      </c>
      <c r="C66" s="6" t="s">
        <v>743</v>
      </c>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t="str">
        <f t="shared" si="1"/>
        <v/>
      </c>
      <c r="AK66" s="6"/>
      <c r="AL66" s="6"/>
      <c r="AM66" s="6"/>
      <c r="AN66" s="6"/>
      <c r="AO66" s="6"/>
    </row>
    <row r="67" spans="1:41" x14ac:dyDescent="0.3">
      <c r="A67" s="6" t="s">
        <v>524</v>
      </c>
      <c r="B67" s="6" t="s">
        <v>654</v>
      </c>
      <c r="C67" s="6" t="s">
        <v>744</v>
      </c>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t="str">
        <f t="shared" ref="AJ67:AJ130" si="2">IF(AI67="", "", ((AH67-AI67)/AI67)*100)</f>
        <v/>
      </c>
      <c r="AK67" s="6"/>
      <c r="AL67" s="6"/>
      <c r="AM67" s="6"/>
      <c r="AN67" s="6"/>
      <c r="AO67" s="6" t="s">
        <v>749</v>
      </c>
    </row>
    <row r="68" spans="1:41" ht="28.8" x14ac:dyDescent="0.3">
      <c r="A68" s="6" t="s">
        <v>525</v>
      </c>
      <c r="B68" s="6" t="s">
        <v>653</v>
      </c>
      <c r="C68" s="7" t="s">
        <v>745</v>
      </c>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t="str">
        <f t="shared" si="2"/>
        <v/>
      </c>
      <c r="AK68" s="6"/>
      <c r="AL68" s="6"/>
      <c r="AM68" s="6"/>
      <c r="AN68" s="6"/>
      <c r="AO68" s="6"/>
    </row>
    <row r="69" spans="1:41" x14ac:dyDescent="0.3">
      <c r="A69" s="6" t="s">
        <v>526</v>
      </c>
      <c r="B69" s="6" t="s">
        <v>652</v>
      </c>
      <c r="C69" s="6" t="s">
        <v>746</v>
      </c>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t="str">
        <f t="shared" si="2"/>
        <v/>
      </c>
      <c r="AK69" s="6"/>
      <c r="AL69" s="6"/>
      <c r="AM69" s="6"/>
      <c r="AN69" s="6"/>
      <c r="AO69" s="6"/>
    </row>
    <row r="70" spans="1:41" x14ac:dyDescent="0.3">
      <c r="A70" s="6" t="s">
        <v>527</v>
      </c>
      <c r="B70" s="6" t="s">
        <v>662</v>
      </c>
      <c r="C70" s="6" t="s">
        <v>747</v>
      </c>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t="str">
        <f t="shared" si="2"/>
        <v/>
      </c>
      <c r="AK70" s="6"/>
      <c r="AL70" s="6"/>
      <c r="AM70" s="6"/>
      <c r="AN70" s="6"/>
      <c r="AO70" s="6"/>
    </row>
    <row r="71" spans="1:41" ht="43.2" x14ac:dyDescent="0.3">
      <c r="A71" s="6" t="s">
        <v>29</v>
      </c>
      <c r="B71" s="6" t="s">
        <v>662</v>
      </c>
      <c r="C71" s="6" t="s">
        <v>802</v>
      </c>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t="str">
        <f t="shared" si="2"/>
        <v/>
      </c>
      <c r="AK71" s="6"/>
      <c r="AL71" s="6"/>
      <c r="AM71" s="6"/>
      <c r="AN71" s="6"/>
      <c r="AO71" s="7" t="s">
        <v>748</v>
      </c>
    </row>
    <row r="72" spans="1:41" x14ac:dyDescent="0.3">
      <c r="A72" s="6" t="s">
        <v>528</v>
      </c>
      <c r="B72" s="6" t="s">
        <v>654</v>
      </c>
      <c r="C72" s="6" t="s">
        <v>750</v>
      </c>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t="str">
        <f t="shared" si="2"/>
        <v/>
      </c>
      <c r="AK72" s="6"/>
      <c r="AL72" s="6"/>
      <c r="AM72" s="6"/>
      <c r="AN72" s="6"/>
      <c r="AO72" s="6"/>
    </row>
    <row r="73" spans="1:41" x14ac:dyDescent="0.3">
      <c r="A73" s="6" t="s">
        <v>529</v>
      </c>
      <c r="B73" s="6" t="s">
        <v>651</v>
      </c>
      <c r="C73" s="6" t="s">
        <v>751</v>
      </c>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t="str">
        <f t="shared" si="2"/>
        <v/>
      </c>
      <c r="AK73" s="6"/>
      <c r="AL73" s="6"/>
      <c r="AM73" s="6"/>
      <c r="AN73" s="6"/>
      <c r="AO73" s="6"/>
    </row>
    <row r="74" spans="1:41" ht="43.2" x14ac:dyDescent="0.3">
      <c r="A74" s="6" t="s">
        <v>530</v>
      </c>
      <c r="B74" s="6" t="s">
        <v>653</v>
      </c>
      <c r="C74" s="6" t="s">
        <v>752</v>
      </c>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t="str">
        <f t="shared" si="2"/>
        <v/>
      </c>
      <c r="AK74" s="6"/>
      <c r="AL74" s="6"/>
      <c r="AM74" s="6"/>
      <c r="AN74" s="6"/>
      <c r="AO74" s="7" t="s">
        <v>753</v>
      </c>
    </row>
    <row r="75" spans="1:41" ht="100.8" x14ac:dyDescent="0.3">
      <c r="A75" s="6" t="s">
        <v>531</v>
      </c>
      <c r="B75" s="6" t="s">
        <v>653</v>
      </c>
      <c r="C75" s="7" t="s">
        <v>754</v>
      </c>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t="str">
        <f t="shared" si="2"/>
        <v/>
      </c>
      <c r="AK75" s="6"/>
      <c r="AL75" s="6"/>
      <c r="AM75" s="6"/>
      <c r="AN75" s="6"/>
      <c r="AO75" s="7" t="s">
        <v>674</v>
      </c>
    </row>
    <row r="76" spans="1:41" ht="28.8" x14ac:dyDescent="0.3">
      <c r="A76" s="6" t="s">
        <v>532</v>
      </c>
      <c r="B76" s="6" t="s">
        <v>653</v>
      </c>
      <c r="C76" s="6" t="s">
        <v>756</v>
      </c>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t="str">
        <f t="shared" si="2"/>
        <v/>
      </c>
      <c r="AK76" s="6"/>
      <c r="AL76" s="6"/>
      <c r="AM76" s="6"/>
      <c r="AN76" s="6"/>
      <c r="AO76" s="7" t="s">
        <v>757</v>
      </c>
    </row>
    <row r="77" spans="1:41" x14ac:dyDescent="0.3">
      <c r="A77" s="6" t="s">
        <v>533</v>
      </c>
      <c r="B77" s="6" t="s">
        <v>653</v>
      </c>
      <c r="C77" s="6" t="s">
        <v>758</v>
      </c>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t="str">
        <f t="shared" si="2"/>
        <v/>
      </c>
      <c r="AK77" s="6"/>
      <c r="AL77" s="6"/>
      <c r="AM77" s="6"/>
      <c r="AN77" s="6"/>
      <c r="AO77" s="6"/>
    </row>
    <row r="78" spans="1:41" ht="28.8" x14ac:dyDescent="0.3">
      <c r="A78" s="6" t="s">
        <v>534</v>
      </c>
      <c r="B78" s="6" t="s">
        <v>653</v>
      </c>
      <c r="C78" s="6" t="s">
        <v>759</v>
      </c>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t="str">
        <f t="shared" si="2"/>
        <v/>
      </c>
      <c r="AK78" s="6"/>
      <c r="AL78" s="6"/>
      <c r="AM78" s="6"/>
      <c r="AN78" s="6"/>
      <c r="AO78" s="7" t="s">
        <v>760</v>
      </c>
    </row>
    <row r="79" spans="1:41" x14ac:dyDescent="0.3">
      <c r="A79" s="6" t="s">
        <v>535</v>
      </c>
      <c r="B79" s="6" t="s">
        <v>654</v>
      </c>
      <c r="C79" s="6" t="s">
        <v>761</v>
      </c>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t="str">
        <f t="shared" si="2"/>
        <v/>
      </c>
      <c r="AK79" s="6"/>
      <c r="AL79" s="6"/>
      <c r="AM79" s="6"/>
      <c r="AN79" s="6"/>
      <c r="AO79" s="6"/>
    </row>
    <row r="80" spans="1:41" x14ac:dyDescent="0.3">
      <c r="A80" s="6" t="s">
        <v>536</v>
      </c>
      <c r="B80" s="6" t="s">
        <v>653</v>
      </c>
      <c r="C80" s="6" t="s">
        <v>762</v>
      </c>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t="str">
        <f t="shared" si="2"/>
        <v/>
      </c>
      <c r="AK80" s="6"/>
      <c r="AL80" s="6"/>
      <c r="AM80" s="6"/>
      <c r="AN80" s="6"/>
      <c r="AO80" s="6"/>
    </row>
    <row r="81" spans="1:41" x14ac:dyDescent="0.3">
      <c r="A81" s="6" t="s">
        <v>537</v>
      </c>
      <c r="B81" s="6" t="s">
        <v>653</v>
      </c>
      <c r="C81" s="6" t="s">
        <v>763</v>
      </c>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t="str">
        <f t="shared" si="2"/>
        <v/>
      </c>
      <c r="AK81" s="6"/>
      <c r="AL81" s="6"/>
      <c r="AM81" s="6"/>
      <c r="AN81" s="6"/>
      <c r="AO81" s="6"/>
    </row>
    <row r="82" spans="1:41" x14ac:dyDescent="0.3">
      <c r="A82" s="6" t="s">
        <v>53</v>
      </c>
      <c r="B82" s="6" t="s">
        <v>662</v>
      </c>
      <c r="C82" s="6" t="s">
        <v>764</v>
      </c>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t="str">
        <f t="shared" si="2"/>
        <v/>
      </c>
      <c r="AK82" s="6"/>
      <c r="AL82" s="6"/>
      <c r="AM82" s="6"/>
      <c r="AN82" s="6"/>
      <c r="AO82" s="6"/>
    </row>
    <row r="83" spans="1:41" x14ac:dyDescent="0.3">
      <c r="A83" s="6" t="s">
        <v>663</v>
      </c>
      <c r="B83" s="6" t="s">
        <v>652</v>
      </c>
      <c r="C83" s="6" t="s">
        <v>832</v>
      </c>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t="str">
        <f t="shared" si="2"/>
        <v/>
      </c>
      <c r="AK83" s="6"/>
      <c r="AL83" s="6"/>
      <c r="AM83" s="6"/>
      <c r="AN83" s="6"/>
      <c r="AO83" s="6"/>
    </row>
    <row r="84" spans="1:41" x14ac:dyDescent="0.3">
      <c r="A84" s="6" t="s">
        <v>538</v>
      </c>
      <c r="B84" s="6" t="s">
        <v>651</v>
      </c>
      <c r="C84" s="7" t="s">
        <v>804</v>
      </c>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t="str">
        <f t="shared" si="2"/>
        <v/>
      </c>
      <c r="AK84" s="6"/>
      <c r="AL84" s="6"/>
      <c r="AM84" s="6"/>
      <c r="AN84" s="6"/>
      <c r="AO84" s="6"/>
    </row>
    <row r="85" spans="1:41" x14ac:dyDescent="0.3">
      <c r="A85" s="6" t="s">
        <v>539</v>
      </c>
      <c r="B85" s="6" t="s">
        <v>651</v>
      </c>
      <c r="C85" s="6" t="s">
        <v>765</v>
      </c>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t="str">
        <f t="shared" si="2"/>
        <v/>
      </c>
      <c r="AK85" s="6"/>
      <c r="AL85" s="6"/>
      <c r="AM85" s="6"/>
      <c r="AN85" s="6"/>
      <c r="AO85" s="6"/>
    </row>
    <row r="86" spans="1:41" ht="28.8" x14ac:dyDescent="0.3">
      <c r="A86" s="6" t="s">
        <v>540</v>
      </c>
      <c r="B86" s="6" t="s">
        <v>652</v>
      </c>
      <c r="C86" s="7" t="s">
        <v>818</v>
      </c>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t="str">
        <f t="shared" si="2"/>
        <v/>
      </c>
      <c r="AK86" s="6"/>
      <c r="AL86" s="6"/>
      <c r="AM86" s="6"/>
      <c r="AN86" s="6"/>
      <c r="AO86" s="6"/>
    </row>
    <row r="87" spans="1:41" x14ac:dyDescent="0.3">
      <c r="A87" s="6" t="s">
        <v>541</v>
      </c>
      <c r="B87" s="6" t="s">
        <v>651</v>
      </c>
      <c r="C87" s="6" t="s">
        <v>766</v>
      </c>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t="str">
        <f t="shared" si="2"/>
        <v/>
      </c>
      <c r="AK87" s="6"/>
      <c r="AL87" s="6"/>
      <c r="AM87" s="6"/>
      <c r="AN87" s="6"/>
      <c r="AO87" s="6"/>
    </row>
    <row r="88" spans="1:41" ht="43.2" x14ac:dyDescent="0.3">
      <c r="A88" s="6" t="s">
        <v>542</v>
      </c>
      <c r="B88" s="6" t="s">
        <v>21</v>
      </c>
      <c r="C88" s="6" t="s">
        <v>767</v>
      </c>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t="str">
        <f t="shared" si="2"/>
        <v/>
      </c>
      <c r="AK88" s="6"/>
      <c r="AL88" s="6"/>
      <c r="AM88" s="6"/>
      <c r="AN88" s="6"/>
      <c r="AO88" s="7" t="s">
        <v>675</v>
      </c>
    </row>
    <row r="89" spans="1:41" ht="28.8" x14ac:dyDescent="0.3">
      <c r="A89" s="6" t="s">
        <v>543</v>
      </c>
      <c r="B89" s="6" t="s">
        <v>652</v>
      </c>
      <c r="C89" s="7" t="s">
        <v>768</v>
      </c>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t="str">
        <f t="shared" si="2"/>
        <v/>
      </c>
      <c r="AK89" s="6"/>
      <c r="AL89" s="6"/>
      <c r="AM89" s="6"/>
      <c r="AN89" s="6"/>
      <c r="AO89" s="6"/>
    </row>
    <row r="90" spans="1:41" ht="28.8" x14ac:dyDescent="0.3">
      <c r="A90" s="6" t="s">
        <v>229</v>
      </c>
      <c r="B90" s="6" t="s">
        <v>662</v>
      </c>
      <c r="C90" s="7" t="s">
        <v>769</v>
      </c>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t="str">
        <f t="shared" si="2"/>
        <v/>
      </c>
      <c r="AK90" s="6"/>
      <c r="AL90" s="6"/>
      <c r="AM90" s="6"/>
      <c r="AN90" s="6"/>
      <c r="AO90" s="6"/>
    </row>
    <row r="91" spans="1:41" x14ac:dyDescent="0.3">
      <c r="A91" s="6" t="s">
        <v>544</v>
      </c>
      <c r="B91" s="6" t="s">
        <v>662</v>
      </c>
      <c r="C91" s="6" t="s">
        <v>770</v>
      </c>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t="str">
        <f t="shared" si="2"/>
        <v/>
      </c>
      <c r="AK91" s="6"/>
      <c r="AL91" s="6"/>
      <c r="AM91" s="6"/>
      <c r="AN91" s="6"/>
      <c r="AO91" s="6"/>
    </row>
    <row r="92" spans="1:41" ht="86.4" x14ac:dyDescent="0.3">
      <c r="A92" s="6" t="s">
        <v>553</v>
      </c>
      <c r="B92" s="6" t="s">
        <v>660</v>
      </c>
      <c r="C92" s="7" t="s">
        <v>771</v>
      </c>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t="str">
        <f t="shared" si="2"/>
        <v/>
      </c>
      <c r="AK92" s="6"/>
      <c r="AL92" s="6"/>
      <c r="AM92" s="6"/>
      <c r="AN92" s="6"/>
      <c r="AO92" s="7" t="s">
        <v>772</v>
      </c>
    </row>
    <row r="93" spans="1:41" x14ac:dyDescent="0.3">
      <c r="A93" s="6" t="s">
        <v>382</v>
      </c>
      <c r="B93" s="6" t="s">
        <v>662</v>
      </c>
      <c r="C93" s="6" t="s">
        <v>773</v>
      </c>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t="str">
        <f t="shared" si="2"/>
        <v/>
      </c>
      <c r="AK93" s="6"/>
      <c r="AL93" s="6"/>
      <c r="AM93" s="6"/>
      <c r="AN93" s="6"/>
      <c r="AO93" s="6"/>
    </row>
    <row r="94" spans="1:41" x14ac:dyDescent="0.3">
      <c r="A94" s="6" t="s">
        <v>554</v>
      </c>
      <c r="B94" s="6" t="s">
        <v>653</v>
      </c>
      <c r="C94" s="6" t="s">
        <v>776</v>
      </c>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t="str">
        <f t="shared" si="2"/>
        <v/>
      </c>
      <c r="AK94" s="6"/>
      <c r="AL94" s="6"/>
      <c r="AM94" s="6"/>
      <c r="AN94" s="6"/>
      <c r="AO94" s="6"/>
    </row>
    <row r="95" spans="1:41" ht="28.8" x14ac:dyDescent="0.3">
      <c r="A95" s="6" t="s">
        <v>307</v>
      </c>
      <c r="B95" s="6" t="s">
        <v>662</v>
      </c>
      <c r="C95" s="7" t="s">
        <v>777</v>
      </c>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t="str">
        <f t="shared" si="2"/>
        <v/>
      </c>
      <c r="AK95" s="6"/>
      <c r="AL95" s="6"/>
      <c r="AM95" s="6"/>
      <c r="AN95" s="6"/>
      <c r="AO95" s="6"/>
    </row>
    <row r="96" spans="1:41" x14ac:dyDescent="0.3">
      <c r="A96" s="6" t="s">
        <v>61</v>
      </c>
      <c r="B96" s="6" t="s">
        <v>651</v>
      </c>
      <c r="C96" s="6" t="s">
        <v>778</v>
      </c>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t="str">
        <f t="shared" si="2"/>
        <v/>
      </c>
      <c r="AK96" s="6"/>
      <c r="AL96" s="6"/>
      <c r="AM96" s="6"/>
      <c r="AN96" s="6"/>
      <c r="AO96" s="6"/>
    </row>
    <row r="97" spans="1:41" ht="28.8" x14ac:dyDescent="0.3">
      <c r="A97" s="6" t="s">
        <v>555</v>
      </c>
      <c r="B97" s="6" t="s">
        <v>662</v>
      </c>
      <c r="C97" s="7" t="s">
        <v>781</v>
      </c>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t="str">
        <f t="shared" si="2"/>
        <v/>
      </c>
      <c r="AK97" s="6"/>
      <c r="AL97" s="6"/>
      <c r="AM97" s="6"/>
      <c r="AN97" s="6"/>
      <c r="AO97" s="6"/>
    </row>
    <row r="98" spans="1:41" ht="28.8" x14ac:dyDescent="0.3">
      <c r="A98" s="6" t="s">
        <v>556</v>
      </c>
      <c r="B98" s="6" t="s">
        <v>662</v>
      </c>
      <c r="C98" s="7" t="s">
        <v>782</v>
      </c>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t="str">
        <f t="shared" si="2"/>
        <v/>
      </c>
      <c r="AK98" s="6"/>
      <c r="AL98" s="6"/>
      <c r="AM98" s="6"/>
      <c r="AN98" s="6"/>
      <c r="AO98" s="6"/>
    </row>
    <row r="99" spans="1:41" x14ac:dyDescent="0.3">
      <c r="A99" s="6" t="s">
        <v>45</v>
      </c>
      <c r="B99" s="6" t="s">
        <v>662</v>
      </c>
      <c r="C99" s="6" t="s">
        <v>784</v>
      </c>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t="str">
        <f t="shared" si="2"/>
        <v/>
      </c>
      <c r="AK99" s="6"/>
      <c r="AL99" s="6"/>
      <c r="AM99" s="6"/>
      <c r="AN99" s="6"/>
      <c r="AO99" s="6"/>
    </row>
    <row r="100" spans="1:41" x14ac:dyDescent="0.3">
      <c r="A100" s="6" t="s">
        <v>557</v>
      </c>
      <c r="B100" s="6" t="s">
        <v>653</v>
      </c>
      <c r="C100" s="6" t="s">
        <v>785</v>
      </c>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t="str">
        <f t="shared" si="2"/>
        <v/>
      </c>
      <c r="AK100" s="6"/>
      <c r="AL100" s="6"/>
      <c r="AM100" s="6"/>
      <c r="AN100" s="6"/>
      <c r="AO100" s="6"/>
    </row>
    <row r="101" spans="1:41" x14ac:dyDescent="0.3">
      <c r="A101" s="6" t="s">
        <v>558</v>
      </c>
      <c r="B101" s="6" t="s">
        <v>662</v>
      </c>
      <c r="C101" s="6" t="s">
        <v>787</v>
      </c>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c r="AD101" s="6"/>
      <c r="AE101" s="6"/>
      <c r="AF101" s="6"/>
      <c r="AG101" s="6"/>
      <c r="AH101" s="6"/>
      <c r="AI101" s="6"/>
      <c r="AJ101" s="6" t="str">
        <f t="shared" si="2"/>
        <v/>
      </c>
      <c r="AK101" s="6"/>
      <c r="AL101" s="6"/>
      <c r="AM101" s="6"/>
      <c r="AN101" s="6"/>
      <c r="AO101" s="6"/>
    </row>
    <row r="102" spans="1:41" x14ac:dyDescent="0.3">
      <c r="A102" s="6" t="s">
        <v>559</v>
      </c>
      <c r="B102" s="6" t="s">
        <v>651</v>
      </c>
      <c r="C102" s="6" t="s">
        <v>788</v>
      </c>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c r="AD102" s="6"/>
      <c r="AE102" s="6"/>
      <c r="AF102" s="6"/>
      <c r="AG102" s="6"/>
      <c r="AH102" s="6"/>
      <c r="AI102" s="6"/>
      <c r="AJ102" s="6" t="str">
        <f t="shared" si="2"/>
        <v/>
      </c>
      <c r="AK102" s="6"/>
      <c r="AL102" s="6"/>
      <c r="AM102" s="6"/>
      <c r="AN102" s="6"/>
      <c r="AO102" s="6"/>
    </row>
    <row r="103" spans="1:41" ht="28.8" x14ac:dyDescent="0.3">
      <c r="A103" s="6" t="s">
        <v>560</v>
      </c>
      <c r="B103" s="6" t="s">
        <v>651</v>
      </c>
      <c r="C103" s="7" t="s">
        <v>791</v>
      </c>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c r="AD103" s="6"/>
      <c r="AE103" s="6"/>
      <c r="AF103" s="6"/>
      <c r="AG103" s="6"/>
      <c r="AH103" s="6"/>
      <c r="AI103" s="6"/>
      <c r="AJ103" s="6" t="str">
        <f t="shared" si="2"/>
        <v/>
      </c>
      <c r="AK103" s="6"/>
      <c r="AL103" s="6"/>
      <c r="AM103" s="6"/>
      <c r="AN103" s="6"/>
      <c r="AO103" s="6"/>
    </row>
    <row r="104" spans="1:41" ht="28.8" x14ac:dyDescent="0.3">
      <c r="A104" s="6" t="s">
        <v>561</v>
      </c>
      <c r="B104" s="6" t="s">
        <v>653</v>
      </c>
      <c r="C104" s="7" t="s">
        <v>792</v>
      </c>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c r="AE104" s="6"/>
      <c r="AF104" s="6"/>
      <c r="AG104" s="6"/>
      <c r="AH104" s="6"/>
      <c r="AI104" s="6"/>
      <c r="AJ104" s="6" t="str">
        <f t="shared" si="2"/>
        <v/>
      </c>
      <c r="AK104" s="6"/>
      <c r="AL104" s="6"/>
      <c r="AM104" s="6"/>
      <c r="AN104" s="6"/>
      <c r="AO104" s="6"/>
    </row>
    <row r="105" spans="1:41" x14ac:dyDescent="0.3">
      <c r="A105" s="6" t="s">
        <v>562</v>
      </c>
      <c r="B105" s="6" t="s">
        <v>651</v>
      </c>
      <c r="C105" s="6" t="s">
        <v>793</v>
      </c>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c r="AD105" s="6"/>
      <c r="AE105" s="6"/>
      <c r="AF105" s="6"/>
      <c r="AG105" s="6"/>
      <c r="AH105" s="6"/>
      <c r="AI105" s="6"/>
      <c r="AJ105" s="6" t="str">
        <f t="shared" si="2"/>
        <v/>
      </c>
      <c r="AK105" s="6"/>
      <c r="AL105" s="6"/>
      <c r="AM105" s="6"/>
      <c r="AN105" s="6"/>
      <c r="AO105" s="6"/>
    </row>
    <row r="106" spans="1:41" x14ac:dyDescent="0.3">
      <c r="A106" s="6" t="s">
        <v>563</v>
      </c>
      <c r="B106" s="6" t="s">
        <v>652</v>
      </c>
      <c r="C106" s="6" t="s">
        <v>794</v>
      </c>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c r="AD106" s="6"/>
      <c r="AE106" s="6"/>
      <c r="AF106" s="6"/>
      <c r="AG106" s="6"/>
      <c r="AH106" s="6"/>
      <c r="AI106" s="6"/>
      <c r="AJ106" s="6" t="str">
        <f t="shared" si="2"/>
        <v/>
      </c>
      <c r="AK106" s="6"/>
      <c r="AL106" s="6"/>
      <c r="AM106" s="6"/>
      <c r="AN106" s="6"/>
      <c r="AO106" s="6"/>
    </row>
    <row r="107" spans="1:41" x14ac:dyDescent="0.3">
      <c r="A107" s="6" t="s">
        <v>564</v>
      </c>
      <c r="B107" s="6" t="s">
        <v>654</v>
      </c>
      <c r="C107" s="6" t="s">
        <v>795</v>
      </c>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c r="AD107" s="6"/>
      <c r="AE107" s="6"/>
      <c r="AF107" s="6"/>
      <c r="AG107" s="6"/>
      <c r="AH107" s="6"/>
      <c r="AI107" s="6"/>
      <c r="AJ107" s="6" t="str">
        <f t="shared" si="2"/>
        <v/>
      </c>
      <c r="AK107" s="6"/>
      <c r="AL107" s="6"/>
      <c r="AM107" s="6"/>
      <c r="AN107" s="6"/>
      <c r="AO107" s="6"/>
    </row>
    <row r="108" spans="1:41" x14ac:dyDescent="0.3">
      <c r="A108" s="6" t="s">
        <v>565</v>
      </c>
      <c r="B108" s="6" t="s">
        <v>662</v>
      </c>
      <c r="C108" s="6" t="s">
        <v>796</v>
      </c>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c r="AH108" s="6"/>
      <c r="AI108" s="6"/>
      <c r="AJ108" s="6" t="str">
        <f t="shared" si="2"/>
        <v/>
      </c>
      <c r="AK108" s="6"/>
      <c r="AL108" s="6"/>
      <c r="AM108" s="6"/>
      <c r="AN108" s="6"/>
      <c r="AO108" s="6"/>
    </row>
    <row r="109" spans="1:41" ht="43.2" x14ac:dyDescent="0.3">
      <c r="A109" s="6" t="s">
        <v>566</v>
      </c>
      <c r="B109" s="6" t="s">
        <v>662</v>
      </c>
      <c r="C109" s="7" t="s">
        <v>798</v>
      </c>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c r="AD109" s="6"/>
      <c r="AE109" s="6"/>
      <c r="AF109" s="6"/>
      <c r="AG109" s="6"/>
      <c r="AH109" s="6"/>
      <c r="AI109" s="6"/>
      <c r="AJ109" s="6" t="str">
        <f t="shared" si="2"/>
        <v/>
      </c>
      <c r="AK109" s="6"/>
      <c r="AL109" s="6"/>
      <c r="AM109" s="6"/>
      <c r="AN109" s="6"/>
      <c r="AO109" s="7" t="s">
        <v>797</v>
      </c>
    </row>
    <row r="110" spans="1:41" x14ac:dyDescent="0.3">
      <c r="A110" s="6" t="s">
        <v>567</v>
      </c>
      <c r="B110" s="6" t="s">
        <v>653</v>
      </c>
      <c r="C110" s="6" t="s">
        <v>799</v>
      </c>
      <c r="D110" s="6"/>
      <c r="E110" s="6"/>
      <c r="F110" s="6"/>
      <c r="G110" s="6"/>
      <c r="H110" s="6"/>
      <c r="I110" s="6"/>
      <c r="J110" s="6"/>
      <c r="K110" s="6"/>
      <c r="L110" s="6"/>
      <c r="M110" s="6"/>
      <c r="N110" s="6"/>
      <c r="O110" s="6"/>
      <c r="P110" s="6"/>
      <c r="Q110" s="6"/>
      <c r="R110" s="6"/>
      <c r="S110" s="6"/>
      <c r="T110" s="6"/>
      <c r="U110" s="6"/>
      <c r="V110" s="6"/>
      <c r="W110" s="6"/>
      <c r="X110" s="6"/>
      <c r="Y110" s="6"/>
      <c r="Z110" s="6"/>
      <c r="AA110" s="6"/>
      <c r="AB110" s="6"/>
      <c r="AC110" s="6"/>
      <c r="AD110" s="6"/>
      <c r="AE110" s="6"/>
      <c r="AF110" s="6"/>
      <c r="AG110" s="6"/>
      <c r="AH110" s="6"/>
      <c r="AI110" s="6"/>
      <c r="AJ110" s="6" t="str">
        <f t="shared" si="2"/>
        <v/>
      </c>
      <c r="AK110" s="6"/>
      <c r="AL110" s="6"/>
      <c r="AM110" s="6"/>
      <c r="AN110" s="6"/>
      <c r="AO110" s="6"/>
    </row>
    <row r="111" spans="1:41" x14ac:dyDescent="0.3">
      <c r="A111" s="6" t="s">
        <v>568</v>
      </c>
      <c r="B111" s="6" t="s">
        <v>652</v>
      </c>
      <c r="C111" s="6" t="s">
        <v>800</v>
      </c>
      <c r="D111" s="6"/>
      <c r="E111" s="6"/>
      <c r="F111" s="6"/>
      <c r="G111" s="6"/>
      <c r="H111" s="6"/>
      <c r="I111" s="6"/>
      <c r="J111" s="6"/>
      <c r="K111" s="6"/>
      <c r="L111" s="6"/>
      <c r="M111" s="6"/>
      <c r="N111" s="6"/>
      <c r="O111" s="6"/>
      <c r="P111" s="6"/>
      <c r="Q111" s="6"/>
      <c r="R111" s="6"/>
      <c r="S111" s="6"/>
      <c r="T111" s="6"/>
      <c r="U111" s="6"/>
      <c r="V111" s="6"/>
      <c r="W111" s="6"/>
      <c r="X111" s="6"/>
      <c r="Y111" s="6"/>
      <c r="Z111" s="6"/>
      <c r="AA111" s="6"/>
      <c r="AB111" s="6"/>
      <c r="AC111" s="6"/>
      <c r="AD111" s="6"/>
      <c r="AE111" s="6"/>
      <c r="AF111" s="6"/>
      <c r="AG111" s="6"/>
      <c r="AH111" s="6"/>
      <c r="AI111" s="6"/>
      <c r="AJ111" s="6" t="str">
        <f t="shared" si="2"/>
        <v/>
      </c>
      <c r="AK111" s="6"/>
      <c r="AL111" s="6"/>
      <c r="AM111" s="6"/>
      <c r="AN111" s="6"/>
      <c r="AO111" s="6"/>
    </row>
    <row r="112" spans="1:41" ht="28.8" x14ac:dyDescent="0.3">
      <c r="A112" s="6" t="s">
        <v>235</v>
      </c>
      <c r="B112" s="6" t="s">
        <v>662</v>
      </c>
      <c r="C112" s="7" t="s">
        <v>801</v>
      </c>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c r="AH112" s="6"/>
      <c r="AI112" s="6"/>
      <c r="AJ112" s="6" t="str">
        <f t="shared" si="2"/>
        <v/>
      </c>
      <c r="AK112" s="6"/>
      <c r="AL112" s="6"/>
      <c r="AM112" s="6"/>
      <c r="AN112" s="6"/>
      <c r="AO112" s="6"/>
    </row>
    <row r="113" spans="1:41" x14ac:dyDescent="0.3">
      <c r="A113" s="6" t="s">
        <v>569</v>
      </c>
      <c r="B113" s="6" t="s">
        <v>651</v>
      </c>
      <c r="C113" s="6" t="s">
        <v>803</v>
      </c>
      <c r="D113" s="6"/>
      <c r="E113" s="6"/>
      <c r="F113" s="6"/>
      <c r="G113" s="6"/>
      <c r="H113" s="6"/>
      <c r="I113" s="6"/>
      <c r="J113" s="6"/>
      <c r="K113" s="6"/>
      <c r="L113" s="6"/>
      <c r="M113" s="6"/>
      <c r="N113" s="6"/>
      <c r="O113" s="6"/>
      <c r="P113" s="6"/>
      <c r="Q113" s="6"/>
      <c r="R113" s="6"/>
      <c r="S113" s="6"/>
      <c r="T113" s="6"/>
      <c r="U113" s="6"/>
      <c r="V113" s="6"/>
      <c r="W113" s="6"/>
      <c r="X113" s="6"/>
      <c r="Y113" s="6"/>
      <c r="Z113" s="6"/>
      <c r="AA113" s="6"/>
      <c r="AB113" s="6"/>
      <c r="AC113" s="6"/>
      <c r="AD113" s="6"/>
      <c r="AE113" s="6"/>
      <c r="AF113" s="6"/>
      <c r="AG113" s="6"/>
      <c r="AH113" s="6"/>
      <c r="AI113" s="6"/>
      <c r="AJ113" s="6" t="str">
        <f t="shared" si="2"/>
        <v/>
      </c>
      <c r="AK113" s="6"/>
      <c r="AL113" s="6"/>
      <c r="AM113" s="6"/>
      <c r="AN113" s="6"/>
      <c r="AO113" s="6"/>
    </row>
    <row r="114" spans="1:41" x14ac:dyDescent="0.3">
      <c r="A114" s="6" t="s">
        <v>570</v>
      </c>
      <c r="B114" s="6" t="s">
        <v>651</v>
      </c>
      <c r="C114" s="6" t="s">
        <v>849</v>
      </c>
      <c r="D114" s="6"/>
      <c r="E114" s="6"/>
      <c r="F114" s="6"/>
      <c r="G114" s="6"/>
      <c r="H114" s="6"/>
      <c r="I114" s="6"/>
      <c r="J114" s="6"/>
      <c r="K114" s="6"/>
      <c r="L114" s="6"/>
      <c r="M114" s="6"/>
      <c r="N114" s="6"/>
      <c r="O114" s="6"/>
      <c r="P114" s="6"/>
      <c r="Q114" s="6"/>
      <c r="R114" s="6"/>
      <c r="S114" s="6"/>
      <c r="T114" s="6"/>
      <c r="U114" s="6"/>
      <c r="V114" s="6"/>
      <c r="W114" s="6"/>
      <c r="X114" s="6"/>
      <c r="Y114" s="6"/>
      <c r="Z114" s="6"/>
      <c r="AA114" s="6"/>
      <c r="AB114" s="6"/>
      <c r="AC114" s="6"/>
      <c r="AD114" s="6"/>
      <c r="AE114" s="6"/>
      <c r="AF114" s="6"/>
      <c r="AG114" s="6"/>
      <c r="AH114" s="6"/>
      <c r="AI114" s="6"/>
      <c r="AJ114" s="6" t="str">
        <f t="shared" si="2"/>
        <v/>
      </c>
      <c r="AK114" s="6"/>
      <c r="AL114" s="6"/>
      <c r="AM114" s="6"/>
      <c r="AN114" s="6"/>
      <c r="AO114" s="6"/>
    </row>
    <row r="115" spans="1:41" x14ac:dyDescent="0.3">
      <c r="A115" s="6" t="s">
        <v>571</v>
      </c>
      <c r="B115" s="6" t="s">
        <v>653</v>
      </c>
      <c r="C115" s="6" t="s">
        <v>786</v>
      </c>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c r="AD115" s="6"/>
      <c r="AE115" s="6"/>
      <c r="AF115" s="6"/>
      <c r="AG115" s="6"/>
      <c r="AH115" s="6"/>
      <c r="AI115" s="6"/>
      <c r="AJ115" s="6" t="str">
        <f t="shared" si="2"/>
        <v/>
      </c>
      <c r="AK115" s="6"/>
      <c r="AL115" s="6"/>
      <c r="AM115" s="6"/>
      <c r="AN115" s="6"/>
      <c r="AO115" s="6"/>
    </row>
    <row r="116" spans="1:41" ht="28.8" x14ac:dyDescent="0.3">
      <c r="A116" s="6" t="s">
        <v>572</v>
      </c>
      <c r="B116" s="6" t="s">
        <v>653</v>
      </c>
      <c r="C116" s="7" t="s">
        <v>805</v>
      </c>
      <c r="D116" s="6"/>
      <c r="E116" s="6"/>
      <c r="F116" s="6"/>
      <c r="G116" s="6"/>
      <c r="H116" s="6"/>
      <c r="I116" s="6"/>
      <c r="J116" s="6"/>
      <c r="K116" s="6"/>
      <c r="L116" s="6"/>
      <c r="M116" s="6"/>
      <c r="N116" s="6"/>
      <c r="O116" s="6"/>
      <c r="P116" s="6"/>
      <c r="Q116" s="6"/>
      <c r="R116" s="6"/>
      <c r="S116" s="6"/>
      <c r="T116" s="6"/>
      <c r="U116" s="6"/>
      <c r="V116" s="6"/>
      <c r="W116" s="6"/>
      <c r="X116" s="6"/>
      <c r="Y116" s="6"/>
      <c r="Z116" s="6"/>
      <c r="AA116" s="6"/>
      <c r="AB116" s="6"/>
      <c r="AC116" s="6"/>
      <c r="AD116" s="6"/>
      <c r="AE116" s="6"/>
      <c r="AF116" s="6"/>
      <c r="AG116" s="6"/>
      <c r="AH116" s="6"/>
      <c r="AI116" s="6"/>
      <c r="AJ116" s="6" t="str">
        <f t="shared" si="2"/>
        <v/>
      </c>
      <c r="AK116" s="6"/>
      <c r="AL116" s="6"/>
      <c r="AM116" s="6"/>
      <c r="AN116" s="6"/>
      <c r="AO116" s="6"/>
    </row>
    <row r="117" spans="1:41" x14ac:dyDescent="0.3">
      <c r="A117" s="6" t="s">
        <v>573</v>
      </c>
      <c r="B117" s="6" t="s">
        <v>651</v>
      </c>
      <c r="C117" s="6" t="s">
        <v>806</v>
      </c>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c r="AD117" s="6"/>
      <c r="AE117" s="6"/>
      <c r="AF117" s="6"/>
      <c r="AG117" s="6"/>
      <c r="AH117" s="6"/>
      <c r="AI117" s="6"/>
      <c r="AJ117" s="6" t="str">
        <f t="shared" si="2"/>
        <v/>
      </c>
      <c r="AK117" s="6"/>
      <c r="AL117" s="6"/>
      <c r="AM117" s="6"/>
      <c r="AN117" s="6"/>
      <c r="AO117" s="6"/>
    </row>
    <row r="118" spans="1:41" x14ac:dyDescent="0.3">
      <c r="A118" s="6" t="s">
        <v>574</v>
      </c>
      <c r="B118" s="6" t="s">
        <v>651</v>
      </c>
      <c r="C118" s="6" t="s">
        <v>807</v>
      </c>
      <c r="D118" s="6"/>
      <c r="E118" s="6"/>
      <c r="F118" s="6"/>
      <c r="G118" s="6"/>
      <c r="H118" s="6"/>
      <c r="I118" s="6"/>
      <c r="J118" s="6"/>
      <c r="K118" s="6"/>
      <c r="L118" s="6"/>
      <c r="M118" s="6"/>
      <c r="N118" s="6"/>
      <c r="O118" s="6"/>
      <c r="P118" s="6"/>
      <c r="Q118" s="6"/>
      <c r="R118" s="6"/>
      <c r="S118" s="6"/>
      <c r="T118" s="6"/>
      <c r="U118" s="6"/>
      <c r="V118" s="6"/>
      <c r="W118" s="6"/>
      <c r="X118" s="6"/>
      <c r="Y118" s="6"/>
      <c r="Z118" s="6"/>
      <c r="AA118" s="6"/>
      <c r="AB118" s="6"/>
      <c r="AC118" s="6"/>
      <c r="AD118" s="6"/>
      <c r="AE118" s="6"/>
      <c r="AF118" s="6"/>
      <c r="AG118" s="6"/>
      <c r="AH118" s="6"/>
      <c r="AI118" s="6"/>
      <c r="AJ118" s="6" t="str">
        <f t="shared" si="2"/>
        <v/>
      </c>
      <c r="AK118" s="6"/>
      <c r="AL118" s="6"/>
      <c r="AM118" s="6"/>
      <c r="AN118" s="6"/>
      <c r="AO118" s="6"/>
    </row>
    <row r="119" spans="1:41" x14ac:dyDescent="0.3">
      <c r="A119" s="6" t="s">
        <v>313</v>
      </c>
      <c r="B119" s="6" t="s">
        <v>662</v>
      </c>
      <c r="C119" s="6" t="s">
        <v>808</v>
      </c>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6"/>
      <c r="AG119" s="6"/>
      <c r="AH119" s="6"/>
      <c r="AI119" s="6"/>
      <c r="AJ119" s="6" t="str">
        <f t="shared" si="2"/>
        <v/>
      </c>
      <c r="AK119" s="6"/>
      <c r="AL119" s="6"/>
      <c r="AM119" s="6"/>
      <c r="AN119" s="6"/>
      <c r="AO119" s="6"/>
    </row>
    <row r="120" spans="1:41" x14ac:dyDescent="0.3">
      <c r="A120" s="6" t="s">
        <v>388</v>
      </c>
      <c r="B120" s="6" t="s">
        <v>662</v>
      </c>
      <c r="C120" s="6" t="s">
        <v>809</v>
      </c>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c r="AG120" s="6"/>
      <c r="AH120" s="6"/>
      <c r="AI120" s="6"/>
      <c r="AJ120" s="6" t="str">
        <f t="shared" si="2"/>
        <v/>
      </c>
      <c r="AK120" s="6"/>
      <c r="AL120" s="6"/>
      <c r="AM120" s="6"/>
      <c r="AN120" s="6"/>
      <c r="AO120" s="6"/>
    </row>
    <row r="121" spans="1:41" ht="86.4" x14ac:dyDescent="0.3">
      <c r="A121" s="6" t="s">
        <v>575</v>
      </c>
      <c r="B121" s="6" t="s">
        <v>653</v>
      </c>
      <c r="C121" s="6" t="s">
        <v>810</v>
      </c>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c r="AD121" s="6"/>
      <c r="AE121" s="6"/>
      <c r="AF121" s="6"/>
      <c r="AG121" s="6"/>
      <c r="AH121" s="6"/>
      <c r="AI121" s="6"/>
      <c r="AJ121" s="6" t="str">
        <f t="shared" si="2"/>
        <v/>
      </c>
      <c r="AK121" s="6"/>
      <c r="AL121" s="6"/>
      <c r="AM121" s="6"/>
      <c r="AN121" s="6"/>
      <c r="AO121" s="7" t="s">
        <v>812</v>
      </c>
    </row>
    <row r="122" spans="1:41" x14ac:dyDescent="0.3">
      <c r="A122" s="6" t="s">
        <v>576</v>
      </c>
      <c r="B122" s="6" t="s">
        <v>662</v>
      </c>
      <c r="C122" s="6" t="s">
        <v>813</v>
      </c>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c r="AD122" s="6"/>
      <c r="AE122" s="6"/>
      <c r="AF122" s="6"/>
      <c r="AG122" s="6"/>
      <c r="AH122" s="6"/>
      <c r="AI122" s="6"/>
      <c r="AJ122" s="6" t="str">
        <f t="shared" si="2"/>
        <v/>
      </c>
      <c r="AK122" s="6"/>
      <c r="AL122" s="6"/>
      <c r="AM122" s="6"/>
      <c r="AN122" s="6"/>
      <c r="AO122" s="6"/>
    </row>
    <row r="123" spans="1:41" ht="28.8" x14ac:dyDescent="0.3">
      <c r="A123" s="6" t="s">
        <v>577</v>
      </c>
      <c r="B123" s="6" t="s">
        <v>662</v>
      </c>
      <c r="C123" s="6" t="s">
        <v>83</v>
      </c>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c r="AD123" s="6"/>
      <c r="AE123" s="6"/>
      <c r="AF123" s="6"/>
      <c r="AG123" s="6"/>
      <c r="AH123" s="6"/>
      <c r="AI123" s="6"/>
      <c r="AJ123" s="6" t="str">
        <f t="shared" si="2"/>
        <v/>
      </c>
      <c r="AK123" s="6"/>
      <c r="AL123" s="6"/>
      <c r="AM123" s="6"/>
      <c r="AN123" s="6"/>
      <c r="AO123" s="7" t="s">
        <v>814</v>
      </c>
    </row>
    <row r="124" spans="1:41" ht="28.8" x14ac:dyDescent="0.3">
      <c r="A124" s="6" t="s">
        <v>69</v>
      </c>
      <c r="B124" s="6" t="s">
        <v>21</v>
      </c>
      <c r="C124" s="6" t="s">
        <v>873</v>
      </c>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c r="AD124" s="6"/>
      <c r="AE124" s="6"/>
      <c r="AF124" s="6"/>
      <c r="AG124" s="6"/>
      <c r="AH124" s="6"/>
      <c r="AI124" s="6"/>
      <c r="AJ124" s="6" t="str">
        <f t="shared" si="2"/>
        <v/>
      </c>
      <c r="AK124" s="6"/>
      <c r="AL124" s="6"/>
      <c r="AM124" s="6"/>
      <c r="AN124" s="6"/>
      <c r="AO124" s="7" t="s">
        <v>815</v>
      </c>
    </row>
    <row r="125" spans="1:41" x14ac:dyDescent="0.3">
      <c r="A125" s="6" t="s">
        <v>578</v>
      </c>
      <c r="B125" s="6" t="s">
        <v>652</v>
      </c>
      <c r="C125" s="6" t="s">
        <v>816</v>
      </c>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c r="AE125" s="6"/>
      <c r="AF125" s="6"/>
      <c r="AG125" s="6"/>
      <c r="AH125" s="6"/>
      <c r="AI125" s="6"/>
      <c r="AJ125" s="6" t="str">
        <f t="shared" si="2"/>
        <v/>
      </c>
      <c r="AK125" s="6"/>
      <c r="AL125" s="6"/>
      <c r="AM125" s="6"/>
      <c r="AN125" s="6"/>
      <c r="AO125" s="6"/>
    </row>
    <row r="126" spans="1:41" x14ac:dyDescent="0.3">
      <c r="A126" s="6" t="s">
        <v>579</v>
      </c>
      <c r="B126" s="6" t="s">
        <v>651</v>
      </c>
      <c r="C126" s="6" t="s">
        <v>817</v>
      </c>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c r="AD126" s="6"/>
      <c r="AE126" s="6"/>
      <c r="AF126" s="6"/>
      <c r="AG126" s="6"/>
      <c r="AH126" s="6"/>
      <c r="AI126" s="6"/>
      <c r="AJ126" s="6" t="str">
        <f t="shared" si="2"/>
        <v/>
      </c>
      <c r="AK126" s="6"/>
      <c r="AL126" s="6"/>
      <c r="AM126" s="6"/>
      <c r="AN126" s="6"/>
      <c r="AO126" s="6"/>
    </row>
    <row r="127" spans="1:41" x14ac:dyDescent="0.3">
      <c r="A127" s="6" t="s">
        <v>580</v>
      </c>
      <c r="B127" s="6" t="s">
        <v>652</v>
      </c>
      <c r="C127" s="6" t="s">
        <v>819</v>
      </c>
      <c r="D127" s="6"/>
      <c r="E127" s="6"/>
      <c r="F127" s="6"/>
      <c r="G127" s="6"/>
      <c r="H127" s="6"/>
      <c r="I127" s="6"/>
      <c r="J127" s="6"/>
      <c r="K127" s="6"/>
      <c r="L127" s="6"/>
      <c r="M127" s="6"/>
      <c r="N127" s="6"/>
      <c r="O127" s="6"/>
      <c r="P127" s="6"/>
      <c r="Q127" s="6"/>
      <c r="R127" s="6"/>
      <c r="S127" s="6"/>
      <c r="T127" s="6"/>
      <c r="U127" s="6"/>
      <c r="V127" s="6"/>
      <c r="W127" s="6"/>
      <c r="X127" s="6"/>
      <c r="Y127" s="6"/>
      <c r="Z127" s="6"/>
      <c r="AA127" s="6"/>
      <c r="AB127" s="6"/>
      <c r="AC127" s="6"/>
      <c r="AD127" s="6"/>
      <c r="AE127" s="6"/>
      <c r="AF127" s="6"/>
      <c r="AG127" s="6"/>
      <c r="AH127" s="6"/>
      <c r="AI127" s="6"/>
      <c r="AJ127" s="6" t="str">
        <f t="shared" si="2"/>
        <v/>
      </c>
      <c r="AK127" s="6"/>
      <c r="AL127" s="6"/>
      <c r="AM127" s="6"/>
      <c r="AN127" s="6"/>
      <c r="AO127" s="6"/>
    </row>
    <row r="128" spans="1:41" ht="28.8" x14ac:dyDescent="0.3">
      <c r="A128" s="6" t="s">
        <v>581</v>
      </c>
      <c r="B128" s="6" t="s">
        <v>662</v>
      </c>
      <c r="C128" s="7" t="s">
        <v>820</v>
      </c>
      <c r="D128" s="6"/>
      <c r="E128" s="6"/>
      <c r="F128" s="6"/>
      <c r="G128" s="6"/>
      <c r="H128" s="6"/>
      <c r="I128" s="6"/>
      <c r="J128" s="6"/>
      <c r="K128" s="6"/>
      <c r="L128" s="6"/>
      <c r="M128" s="6"/>
      <c r="N128" s="6"/>
      <c r="O128" s="6"/>
      <c r="P128" s="6"/>
      <c r="Q128" s="6"/>
      <c r="R128" s="6"/>
      <c r="S128" s="6"/>
      <c r="T128" s="6"/>
      <c r="U128" s="6"/>
      <c r="V128" s="6"/>
      <c r="W128" s="6"/>
      <c r="X128" s="6"/>
      <c r="Y128" s="6"/>
      <c r="Z128" s="6"/>
      <c r="AA128" s="6"/>
      <c r="AB128" s="6"/>
      <c r="AC128" s="6"/>
      <c r="AD128" s="6"/>
      <c r="AE128" s="6"/>
      <c r="AF128" s="6"/>
      <c r="AG128" s="6"/>
      <c r="AH128" s="6"/>
      <c r="AI128" s="6"/>
      <c r="AJ128" s="6" t="str">
        <f t="shared" si="2"/>
        <v/>
      </c>
      <c r="AK128" s="6"/>
      <c r="AL128" s="6"/>
      <c r="AM128" s="6"/>
      <c r="AN128" s="6"/>
      <c r="AO128" s="6"/>
    </row>
    <row r="129" spans="1:41" ht="57.6" x14ac:dyDescent="0.3">
      <c r="A129" s="6" t="s">
        <v>582</v>
      </c>
      <c r="B129" s="6" t="s">
        <v>655</v>
      </c>
      <c r="C129" s="6" t="s">
        <v>821</v>
      </c>
      <c r="D129" s="6"/>
      <c r="E129" s="6"/>
      <c r="F129" s="6"/>
      <c r="G129" s="6"/>
      <c r="H129" s="6"/>
      <c r="I129" s="6"/>
      <c r="J129" s="6"/>
      <c r="K129" s="6"/>
      <c r="L129" s="6"/>
      <c r="M129" s="6"/>
      <c r="N129" s="6"/>
      <c r="O129" s="6"/>
      <c r="P129" s="6"/>
      <c r="Q129" s="6"/>
      <c r="R129" s="6"/>
      <c r="S129" s="6"/>
      <c r="T129" s="6"/>
      <c r="U129" s="6"/>
      <c r="V129" s="6"/>
      <c r="W129" s="6"/>
      <c r="X129" s="6"/>
      <c r="Y129" s="6"/>
      <c r="Z129" s="6"/>
      <c r="AA129" s="6"/>
      <c r="AB129" s="6"/>
      <c r="AC129" s="6"/>
      <c r="AD129" s="6"/>
      <c r="AE129" s="6"/>
      <c r="AF129" s="6"/>
      <c r="AG129" s="6"/>
      <c r="AH129" s="6"/>
      <c r="AI129" s="6"/>
      <c r="AJ129" s="6" t="str">
        <f t="shared" si="2"/>
        <v/>
      </c>
      <c r="AK129" s="6"/>
      <c r="AL129" s="6"/>
      <c r="AM129" s="6"/>
      <c r="AN129" s="6"/>
      <c r="AO129" s="7" t="s">
        <v>823</v>
      </c>
    </row>
    <row r="130" spans="1:41" x14ac:dyDescent="0.3">
      <c r="A130" s="6" t="s">
        <v>583</v>
      </c>
      <c r="B130" s="6" t="s">
        <v>653</v>
      </c>
      <c r="C130" s="6" t="s">
        <v>824</v>
      </c>
      <c r="D130" s="6"/>
      <c r="E130" s="6"/>
      <c r="F130" s="6"/>
      <c r="G130" s="6"/>
      <c r="H130" s="6"/>
      <c r="I130" s="6"/>
      <c r="J130" s="6"/>
      <c r="K130" s="6"/>
      <c r="L130" s="6"/>
      <c r="M130" s="6"/>
      <c r="N130" s="6"/>
      <c r="O130" s="6"/>
      <c r="P130" s="6"/>
      <c r="Q130" s="6"/>
      <c r="R130" s="6"/>
      <c r="S130" s="6"/>
      <c r="T130" s="6"/>
      <c r="U130" s="6"/>
      <c r="V130" s="6"/>
      <c r="W130" s="6"/>
      <c r="X130" s="6"/>
      <c r="Y130" s="6"/>
      <c r="Z130" s="6"/>
      <c r="AA130" s="6"/>
      <c r="AB130" s="6"/>
      <c r="AC130" s="6"/>
      <c r="AD130" s="6"/>
      <c r="AE130" s="6"/>
      <c r="AF130" s="6"/>
      <c r="AG130" s="6"/>
      <c r="AH130" s="6"/>
      <c r="AI130" s="6"/>
      <c r="AJ130" s="6" t="str">
        <f t="shared" si="2"/>
        <v/>
      </c>
      <c r="AK130" s="6"/>
      <c r="AL130" s="6"/>
      <c r="AM130" s="6"/>
      <c r="AN130" s="6"/>
      <c r="AO130" s="6"/>
    </row>
    <row r="131" spans="1:41" x14ac:dyDescent="0.3">
      <c r="A131" s="6" t="s">
        <v>584</v>
      </c>
      <c r="B131" s="6" t="s">
        <v>651</v>
      </c>
      <c r="C131" s="6" t="s">
        <v>682</v>
      </c>
      <c r="D131" s="6"/>
      <c r="E131" s="6"/>
      <c r="F131" s="6"/>
      <c r="G131" s="6"/>
      <c r="H131" s="6"/>
      <c r="I131" s="6"/>
      <c r="J131" s="6"/>
      <c r="K131" s="6"/>
      <c r="L131" s="6"/>
      <c r="M131" s="6"/>
      <c r="N131" s="6"/>
      <c r="O131" s="6"/>
      <c r="P131" s="6"/>
      <c r="Q131" s="6"/>
      <c r="R131" s="6"/>
      <c r="S131" s="6"/>
      <c r="T131" s="6"/>
      <c r="U131" s="6"/>
      <c r="V131" s="6"/>
      <c r="W131" s="6"/>
      <c r="X131" s="6"/>
      <c r="Y131" s="6"/>
      <c r="Z131" s="6"/>
      <c r="AA131" s="6"/>
      <c r="AB131" s="6"/>
      <c r="AC131" s="6"/>
      <c r="AD131" s="6"/>
      <c r="AE131" s="6"/>
      <c r="AF131" s="6"/>
      <c r="AG131" s="6"/>
      <c r="AH131" s="6"/>
      <c r="AI131" s="6"/>
      <c r="AJ131" s="6" t="str">
        <f t="shared" ref="AJ131:AJ191" si="3">IF(AI131="", "", ((AH131-AI131)/AI131)*100)</f>
        <v/>
      </c>
      <c r="AK131" s="6"/>
      <c r="AL131" s="6"/>
      <c r="AM131" s="6"/>
      <c r="AN131" s="6"/>
      <c r="AO131" s="6"/>
    </row>
    <row r="132" spans="1:41" x14ac:dyDescent="0.3">
      <c r="A132" s="6" t="s">
        <v>585</v>
      </c>
      <c r="B132" s="6" t="s">
        <v>654</v>
      </c>
      <c r="C132" s="6" t="s">
        <v>825</v>
      </c>
      <c r="D132" s="6"/>
      <c r="E132" s="6"/>
      <c r="F132" s="6"/>
      <c r="G132" s="6"/>
      <c r="H132" s="6"/>
      <c r="I132" s="6"/>
      <c r="J132" s="6"/>
      <c r="K132" s="6"/>
      <c r="L132" s="6"/>
      <c r="M132" s="6"/>
      <c r="N132" s="6"/>
      <c r="O132" s="6"/>
      <c r="P132" s="6"/>
      <c r="Q132" s="6"/>
      <c r="R132" s="6"/>
      <c r="S132" s="6"/>
      <c r="T132" s="6"/>
      <c r="U132" s="6"/>
      <c r="V132" s="6"/>
      <c r="W132" s="6"/>
      <c r="X132" s="6"/>
      <c r="Y132" s="6"/>
      <c r="Z132" s="6"/>
      <c r="AA132" s="6"/>
      <c r="AB132" s="6"/>
      <c r="AC132" s="6"/>
      <c r="AD132" s="6"/>
      <c r="AE132" s="6"/>
      <c r="AF132" s="6"/>
      <c r="AG132" s="6"/>
      <c r="AH132" s="6"/>
      <c r="AI132" s="6"/>
      <c r="AJ132" s="6" t="str">
        <f t="shared" si="3"/>
        <v/>
      </c>
      <c r="AK132" s="6"/>
      <c r="AL132" s="6"/>
      <c r="AM132" s="6"/>
      <c r="AN132" s="6"/>
      <c r="AO132" s="6"/>
    </row>
    <row r="133" spans="1:41" x14ac:dyDescent="0.3">
      <c r="A133" s="6" t="s">
        <v>586</v>
      </c>
      <c r="B133" s="6" t="s">
        <v>651</v>
      </c>
      <c r="C133" s="6" t="s">
        <v>826</v>
      </c>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c r="AD133" s="6"/>
      <c r="AE133" s="6"/>
      <c r="AF133" s="6"/>
      <c r="AG133" s="6"/>
      <c r="AH133" s="6"/>
      <c r="AI133" s="6"/>
      <c r="AJ133" s="6" t="str">
        <f t="shared" si="3"/>
        <v/>
      </c>
      <c r="AK133" s="6"/>
      <c r="AL133" s="6"/>
      <c r="AM133" s="6"/>
      <c r="AN133" s="6"/>
      <c r="AO133" s="6"/>
    </row>
    <row r="134" spans="1:41" x14ac:dyDescent="0.3">
      <c r="A134" s="6" t="s">
        <v>587</v>
      </c>
      <c r="B134" s="6" t="s">
        <v>653</v>
      </c>
      <c r="C134" s="6" t="s">
        <v>827</v>
      </c>
      <c r="D134" s="6"/>
      <c r="E134" s="6"/>
      <c r="F134" s="6"/>
      <c r="G134" s="6"/>
      <c r="H134" s="6"/>
      <c r="I134" s="6"/>
      <c r="J134" s="6"/>
      <c r="K134" s="6"/>
      <c r="L134" s="6"/>
      <c r="M134" s="6"/>
      <c r="N134" s="6"/>
      <c r="O134" s="6"/>
      <c r="P134" s="6"/>
      <c r="Q134" s="6"/>
      <c r="R134" s="6"/>
      <c r="S134" s="6"/>
      <c r="T134" s="6"/>
      <c r="U134" s="6"/>
      <c r="V134" s="6"/>
      <c r="W134" s="6"/>
      <c r="X134" s="6"/>
      <c r="Y134" s="6"/>
      <c r="Z134" s="6"/>
      <c r="AA134" s="6"/>
      <c r="AB134" s="6"/>
      <c r="AC134" s="6"/>
      <c r="AD134" s="6"/>
      <c r="AE134" s="6"/>
      <c r="AF134" s="6"/>
      <c r="AG134" s="6"/>
      <c r="AH134" s="6"/>
      <c r="AI134" s="6"/>
      <c r="AJ134" s="6" t="str">
        <f t="shared" si="3"/>
        <v/>
      </c>
      <c r="AK134" s="6"/>
      <c r="AL134" s="6"/>
      <c r="AM134" s="6"/>
      <c r="AN134" s="6"/>
      <c r="AO134" s="6"/>
    </row>
    <row r="135" spans="1:41" x14ac:dyDescent="0.3">
      <c r="A135" s="6" t="s">
        <v>588</v>
      </c>
      <c r="B135" s="6" t="s">
        <v>662</v>
      </c>
      <c r="C135" s="6" t="s">
        <v>828</v>
      </c>
      <c r="D135" s="6"/>
      <c r="E135" s="6"/>
      <c r="F135" s="6"/>
      <c r="G135" s="6"/>
      <c r="H135" s="6"/>
      <c r="I135" s="6"/>
      <c r="J135" s="6"/>
      <c r="K135" s="6"/>
      <c r="L135" s="6"/>
      <c r="M135" s="6"/>
      <c r="N135" s="6"/>
      <c r="O135" s="6"/>
      <c r="P135" s="6"/>
      <c r="Q135" s="6"/>
      <c r="R135" s="6"/>
      <c r="S135" s="6"/>
      <c r="T135" s="6"/>
      <c r="U135" s="6"/>
      <c r="V135" s="6"/>
      <c r="W135" s="6"/>
      <c r="X135" s="6"/>
      <c r="Y135" s="6"/>
      <c r="Z135" s="6"/>
      <c r="AA135" s="6"/>
      <c r="AB135" s="6"/>
      <c r="AC135" s="6"/>
      <c r="AD135" s="6"/>
      <c r="AE135" s="6"/>
      <c r="AF135" s="6"/>
      <c r="AG135" s="6"/>
      <c r="AH135" s="6"/>
      <c r="AI135" s="6"/>
      <c r="AJ135" s="6" t="str">
        <f t="shared" si="3"/>
        <v/>
      </c>
      <c r="AK135" s="6"/>
      <c r="AL135" s="6"/>
      <c r="AM135" s="6"/>
      <c r="AN135" s="6"/>
      <c r="AO135" s="6"/>
    </row>
    <row r="136" spans="1:41" x14ac:dyDescent="0.3">
      <c r="A136" s="6" t="s">
        <v>589</v>
      </c>
      <c r="B136" s="6" t="s">
        <v>662</v>
      </c>
      <c r="C136" s="6" t="s">
        <v>829</v>
      </c>
      <c r="D136" s="6"/>
      <c r="E136" s="6"/>
      <c r="F136" s="6"/>
      <c r="G136" s="6"/>
      <c r="H136" s="6"/>
      <c r="I136" s="6"/>
      <c r="J136" s="6"/>
      <c r="K136" s="6"/>
      <c r="L136" s="6"/>
      <c r="M136" s="6"/>
      <c r="N136" s="6"/>
      <c r="O136" s="6"/>
      <c r="P136" s="6"/>
      <c r="Q136" s="6"/>
      <c r="R136" s="6"/>
      <c r="S136" s="6"/>
      <c r="T136" s="6"/>
      <c r="U136" s="6"/>
      <c r="V136" s="6"/>
      <c r="W136" s="6"/>
      <c r="X136" s="6"/>
      <c r="Y136" s="6"/>
      <c r="Z136" s="6"/>
      <c r="AA136" s="6"/>
      <c r="AB136" s="6"/>
      <c r="AC136" s="6"/>
      <c r="AD136" s="6"/>
      <c r="AE136" s="6"/>
      <c r="AF136" s="6"/>
      <c r="AG136" s="6"/>
      <c r="AH136" s="6"/>
      <c r="AI136" s="6"/>
      <c r="AJ136" s="6" t="str">
        <f t="shared" si="3"/>
        <v/>
      </c>
      <c r="AK136" s="6"/>
      <c r="AL136" s="6"/>
      <c r="AM136" s="6"/>
      <c r="AN136" s="6"/>
      <c r="AO136" s="6"/>
    </row>
    <row r="137" spans="1:41" x14ac:dyDescent="0.3">
      <c r="A137" s="6" t="s">
        <v>590</v>
      </c>
      <c r="B137" s="6" t="s">
        <v>651</v>
      </c>
      <c r="C137" s="6" t="s">
        <v>830</v>
      </c>
      <c r="D137" s="6"/>
      <c r="E137" s="6"/>
      <c r="F137" s="6"/>
      <c r="G137" s="6"/>
      <c r="H137" s="6"/>
      <c r="I137" s="6"/>
      <c r="J137" s="6"/>
      <c r="K137" s="6"/>
      <c r="L137" s="6"/>
      <c r="M137" s="6"/>
      <c r="N137" s="6"/>
      <c r="O137" s="6"/>
      <c r="P137" s="6"/>
      <c r="Q137" s="6"/>
      <c r="R137" s="6"/>
      <c r="S137" s="6"/>
      <c r="T137" s="6"/>
      <c r="U137" s="6"/>
      <c r="V137" s="6"/>
      <c r="W137" s="6"/>
      <c r="X137" s="6"/>
      <c r="Y137" s="6"/>
      <c r="Z137" s="6"/>
      <c r="AA137" s="6"/>
      <c r="AB137" s="6"/>
      <c r="AC137" s="6"/>
      <c r="AD137" s="6"/>
      <c r="AE137" s="6"/>
      <c r="AF137" s="6"/>
      <c r="AG137" s="6"/>
      <c r="AH137" s="6"/>
      <c r="AI137" s="6"/>
      <c r="AJ137" s="6" t="str">
        <f t="shared" si="3"/>
        <v/>
      </c>
      <c r="AK137" s="6"/>
      <c r="AL137" s="6"/>
      <c r="AM137" s="6"/>
      <c r="AN137" s="6"/>
      <c r="AO137" s="6"/>
    </row>
    <row r="138" spans="1:41" x14ac:dyDescent="0.3">
      <c r="A138" s="6" t="s">
        <v>591</v>
      </c>
      <c r="B138" s="6" t="s">
        <v>653</v>
      </c>
      <c r="C138" s="6" t="s">
        <v>831</v>
      </c>
      <c r="D138" s="6"/>
      <c r="E138" s="6"/>
      <c r="F138" s="6"/>
      <c r="G138" s="6"/>
      <c r="H138" s="6"/>
      <c r="I138" s="6"/>
      <c r="J138" s="6"/>
      <c r="K138" s="6"/>
      <c r="L138" s="6"/>
      <c r="M138" s="6"/>
      <c r="N138" s="6"/>
      <c r="O138" s="6"/>
      <c r="P138" s="6"/>
      <c r="Q138" s="6"/>
      <c r="R138" s="6"/>
      <c r="S138" s="6"/>
      <c r="T138" s="6"/>
      <c r="U138" s="6"/>
      <c r="V138" s="6"/>
      <c r="W138" s="6"/>
      <c r="X138" s="6"/>
      <c r="Y138" s="6"/>
      <c r="Z138" s="6"/>
      <c r="AA138" s="6"/>
      <c r="AB138" s="6"/>
      <c r="AC138" s="6"/>
      <c r="AD138" s="6"/>
      <c r="AE138" s="6"/>
      <c r="AF138" s="6"/>
      <c r="AG138" s="6"/>
      <c r="AH138" s="6"/>
      <c r="AI138" s="6"/>
      <c r="AJ138" s="6" t="str">
        <f t="shared" si="3"/>
        <v/>
      </c>
      <c r="AK138" s="6"/>
      <c r="AL138" s="6"/>
      <c r="AM138" s="6"/>
      <c r="AN138" s="6"/>
      <c r="AO138" s="6"/>
    </row>
    <row r="139" spans="1:41" ht="57.6" x14ac:dyDescent="0.3">
      <c r="A139" s="6" t="s">
        <v>592</v>
      </c>
      <c r="B139" s="6" t="s">
        <v>652</v>
      </c>
      <c r="C139" s="6" t="s">
        <v>833</v>
      </c>
      <c r="D139" s="6"/>
      <c r="E139" s="6"/>
      <c r="F139" s="6"/>
      <c r="G139" s="6"/>
      <c r="H139" s="6"/>
      <c r="I139" s="6"/>
      <c r="J139" s="6"/>
      <c r="K139" s="6"/>
      <c r="L139" s="6"/>
      <c r="M139" s="6"/>
      <c r="N139" s="6"/>
      <c r="O139" s="6"/>
      <c r="P139" s="6"/>
      <c r="Q139" s="6"/>
      <c r="R139" s="6"/>
      <c r="S139" s="6"/>
      <c r="T139" s="6"/>
      <c r="U139" s="6"/>
      <c r="V139" s="6"/>
      <c r="W139" s="6"/>
      <c r="X139" s="6"/>
      <c r="Y139" s="6"/>
      <c r="Z139" s="6"/>
      <c r="AA139" s="6"/>
      <c r="AB139" s="6"/>
      <c r="AC139" s="6"/>
      <c r="AD139" s="6"/>
      <c r="AE139" s="6"/>
      <c r="AF139" s="6"/>
      <c r="AG139" s="6"/>
      <c r="AH139" s="6"/>
      <c r="AI139" s="6"/>
      <c r="AJ139" s="6" t="str">
        <f t="shared" si="3"/>
        <v/>
      </c>
      <c r="AK139" s="6"/>
      <c r="AL139" s="6"/>
      <c r="AM139" s="6"/>
      <c r="AN139" s="6"/>
      <c r="AO139" s="7" t="s">
        <v>834</v>
      </c>
    </row>
    <row r="140" spans="1:41" x14ac:dyDescent="0.3">
      <c r="A140" s="6" t="s">
        <v>593</v>
      </c>
      <c r="B140" s="6" t="s">
        <v>662</v>
      </c>
      <c r="C140" s="6" t="s">
        <v>835</v>
      </c>
      <c r="D140" s="6"/>
      <c r="E140" s="6"/>
      <c r="F140" s="6"/>
      <c r="G140" s="6"/>
      <c r="H140" s="6"/>
      <c r="I140" s="6"/>
      <c r="J140" s="6"/>
      <c r="K140" s="6"/>
      <c r="L140" s="6"/>
      <c r="M140" s="6"/>
      <c r="N140" s="6"/>
      <c r="O140" s="6"/>
      <c r="P140" s="6"/>
      <c r="Q140" s="6"/>
      <c r="R140" s="6"/>
      <c r="S140" s="6"/>
      <c r="T140" s="6"/>
      <c r="U140" s="6"/>
      <c r="V140" s="6"/>
      <c r="W140" s="6"/>
      <c r="X140" s="6"/>
      <c r="Y140" s="6"/>
      <c r="Z140" s="6"/>
      <c r="AA140" s="6"/>
      <c r="AB140" s="6"/>
      <c r="AC140" s="6"/>
      <c r="AD140" s="6"/>
      <c r="AE140" s="6"/>
      <c r="AF140" s="6"/>
      <c r="AG140" s="6"/>
      <c r="AH140" s="6"/>
      <c r="AI140" s="6"/>
      <c r="AJ140" s="6" t="str">
        <f t="shared" si="3"/>
        <v/>
      </c>
      <c r="AK140" s="6"/>
      <c r="AL140" s="6"/>
      <c r="AM140" s="6"/>
      <c r="AN140" s="6"/>
      <c r="AO140" s="6"/>
    </row>
    <row r="141" spans="1:41" x14ac:dyDescent="0.3">
      <c r="A141" s="6" t="s">
        <v>594</v>
      </c>
      <c r="B141" s="6" t="s">
        <v>662</v>
      </c>
      <c r="C141" s="6" t="s">
        <v>836</v>
      </c>
      <c r="D141" s="6"/>
      <c r="E141" s="6"/>
      <c r="F141" s="6"/>
      <c r="G141" s="6"/>
      <c r="H141" s="6"/>
      <c r="I141" s="6"/>
      <c r="J141" s="6"/>
      <c r="K141" s="6"/>
      <c r="L141" s="6"/>
      <c r="M141" s="6"/>
      <c r="N141" s="6"/>
      <c r="O141" s="6"/>
      <c r="P141" s="6"/>
      <c r="Q141" s="6"/>
      <c r="R141" s="6"/>
      <c r="S141" s="6"/>
      <c r="T141" s="6"/>
      <c r="U141" s="6"/>
      <c r="V141" s="6"/>
      <c r="W141" s="6"/>
      <c r="X141" s="6"/>
      <c r="Y141" s="6"/>
      <c r="Z141" s="6"/>
      <c r="AA141" s="6"/>
      <c r="AB141" s="6"/>
      <c r="AC141" s="6"/>
      <c r="AD141" s="6"/>
      <c r="AE141" s="6"/>
      <c r="AF141" s="6"/>
      <c r="AG141" s="6"/>
      <c r="AH141" s="6"/>
      <c r="AI141" s="6"/>
      <c r="AJ141" s="6" t="str">
        <f t="shared" si="3"/>
        <v/>
      </c>
      <c r="AK141" s="6"/>
      <c r="AL141" s="6"/>
      <c r="AM141" s="6"/>
      <c r="AN141" s="6"/>
      <c r="AO141" s="6"/>
    </row>
    <row r="142" spans="1:41" ht="28.8" x14ac:dyDescent="0.3">
      <c r="A142" s="6" t="s">
        <v>595</v>
      </c>
      <c r="B142" s="6" t="s">
        <v>653</v>
      </c>
      <c r="C142" s="7" t="s">
        <v>837</v>
      </c>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c r="AD142" s="6"/>
      <c r="AE142" s="6"/>
      <c r="AF142" s="6"/>
      <c r="AG142" s="6"/>
      <c r="AH142" s="6"/>
      <c r="AI142" s="6"/>
      <c r="AJ142" s="6" t="str">
        <f t="shared" si="3"/>
        <v/>
      </c>
      <c r="AK142" s="6"/>
      <c r="AL142" s="6"/>
      <c r="AM142" s="6"/>
      <c r="AN142" s="6"/>
      <c r="AO142" s="6"/>
    </row>
    <row r="143" spans="1:41" x14ac:dyDescent="0.3">
      <c r="A143" s="6" t="s">
        <v>596</v>
      </c>
      <c r="B143" s="6" t="s">
        <v>653</v>
      </c>
      <c r="C143" s="6" t="s">
        <v>838</v>
      </c>
      <c r="D143" s="6"/>
      <c r="E143" s="6"/>
      <c r="F143" s="6"/>
      <c r="G143" s="6"/>
      <c r="H143" s="6"/>
      <c r="I143" s="6"/>
      <c r="J143" s="6"/>
      <c r="K143" s="6"/>
      <c r="L143" s="6"/>
      <c r="M143" s="6"/>
      <c r="N143" s="6"/>
      <c r="O143" s="6"/>
      <c r="P143" s="6"/>
      <c r="Q143" s="6"/>
      <c r="R143" s="6"/>
      <c r="S143" s="6"/>
      <c r="T143" s="6"/>
      <c r="U143" s="6"/>
      <c r="V143" s="6"/>
      <c r="W143" s="6"/>
      <c r="X143" s="6"/>
      <c r="Y143" s="6"/>
      <c r="Z143" s="6"/>
      <c r="AA143" s="6"/>
      <c r="AB143" s="6"/>
      <c r="AC143" s="6"/>
      <c r="AD143" s="6"/>
      <c r="AE143" s="6"/>
      <c r="AF143" s="6"/>
      <c r="AG143" s="6"/>
      <c r="AH143" s="6"/>
      <c r="AI143" s="6"/>
      <c r="AJ143" s="6" t="str">
        <f t="shared" si="3"/>
        <v/>
      </c>
      <c r="AK143" s="6"/>
      <c r="AL143" s="6"/>
      <c r="AM143" s="6"/>
      <c r="AN143" s="6"/>
      <c r="AO143" s="6"/>
    </row>
    <row r="144" spans="1:41" x14ac:dyDescent="0.3">
      <c r="A144" s="6" t="s">
        <v>597</v>
      </c>
      <c r="B144" s="6" t="s">
        <v>653</v>
      </c>
      <c r="C144" s="6" t="s">
        <v>89</v>
      </c>
      <c r="D144" s="6"/>
      <c r="E144" s="6"/>
      <c r="F144" s="6"/>
      <c r="G144" s="6"/>
      <c r="H144" s="6"/>
      <c r="I144" s="6"/>
      <c r="J144" s="6"/>
      <c r="K144" s="6"/>
      <c r="L144" s="6"/>
      <c r="M144" s="6"/>
      <c r="N144" s="6"/>
      <c r="O144" s="6"/>
      <c r="P144" s="6"/>
      <c r="Q144" s="6"/>
      <c r="R144" s="6"/>
      <c r="S144" s="6"/>
      <c r="T144" s="6"/>
      <c r="U144" s="6"/>
      <c r="V144" s="6"/>
      <c r="W144" s="6"/>
      <c r="X144" s="6"/>
      <c r="Y144" s="6"/>
      <c r="Z144" s="6"/>
      <c r="AA144" s="6"/>
      <c r="AB144" s="6"/>
      <c r="AC144" s="6"/>
      <c r="AD144" s="6"/>
      <c r="AE144" s="6"/>
      <c r="AF144" s="6"/>
      <c r="AG144" s="6"/>
      <c r="AH144" s="6"/>
      <c r="AI144" s="6"/>
      <c r="AJ144" s="6" t="str">
        <f t="shared" si="3"/>
        <v/>
      </c>
      <c r="AK144" s="6"/>
      <c r="AL144" s="6"/>
      <c r="AM144" s="6"/>
      <c r="AN144" s="6"/>
      <c r="AO144" s="6"/>
    </row>
    <row r="145" spans="1:41" x14ac:dyDescent="0.3">
      <c r="A145" s="6" t="s">
        <v>598</v>
      </c>
      <c r="B145" s="6" t="s">
        <v>653</v>
      </c>
      <c r="C145" s="6" t="s">
        <v>865</v>
      </c>
      <c r="D145" s="6"/>
      <c r="E145" s="6"/>
      <c r="F145" s="6"/>
      <c r="G145" s="6"/>
      <c r="H145" s="6"/>
      <c r="I145" s="6"/>
      <c r="J145" s="6"/>
      <c r="K145" s="6"/>
      <c r="L145" s="6"/>
      <c r="M145" s="6"/>
      <c r="N145" s="6"/>
      <c r="O145" s="6"/>
      <c r="P145" s="6"/>
      <c r="Q145" s="6"/>
      <c r="R145" s="6"/>
      <c r="S145" s="6"/>
      <c r="T145" s="6"/>
      <c r="U145" s="6"/>
      <c r="V145" s="6"/>
      <c r="W145" s="6"/>
      <c r="X145" s="6"/>
      <c r="Y145" s="6"/>
      <c r="Z145" s="6"/>
      <c r="AA145" s="6"/>
      <c r="AB145" s="6"/>
      <c r="AC145" s="6"/>
      <c r="AD145" s="6"/>
      <c r="AE145" s="6"/>
      <c r="AF145" s="6"/>
      <c r="AG145" s="6"/>
      <c r="AH145" s="6"/>
      <c r="AI145" s="6"/>
      <c r="AJ145" s="6" t="str">
        <f t="shared" si="3"/>
        <v/>
      </c>
      <c r="AK145" s="6"/>
      <c r="AL145" s="6"/>
      <c r="AM145" s="6"/>
      <c r="AN145" s="6"/>
      <c r="AO145" s="6"/>
    </row>
    <row r="146" spans="1:41" x14ac:dyDescent="0.3">
      <c r="A146" s="6" t="s">
        <v>599</v>
      </c>
      <c r="B146" s="6" t="s">
        <v>662</v>
      </c>
      <c r="C146" s="6" t="s">
        <v>839</v>
      </c>
      <c r="D146" s="6"/>
      <c r="E146" s="6"/>
      <c r="F146" s="6"/>
      <c r="G146" s="6"/>
      <c r="H146" s="6"/>
      <c r="I146" s="6"/>
      <c r="J146" s="6"/>
      <c r="K146" s="6"/>
      <c r="L146" s="6"/>
      <c r="M146" s="6"/>
      <c r="N146" s="6"/>
      <c r="O146" s="6"/>
      <c r="P146" s="6"/>
      <c r="Q146" s="6"/>
      <c r="R146" s="6"/>
      <c r="S146" s="6"/>
      <c r="T146" s="6"/>
      <c r="U146" s="6"/>
      <c r="V146" s="6"/>
      <c r="W146" s="6"/>
      <c r="X146" s="6"/>
      <c r="Y146" s="6"/>
      <c r="Z146" s="6"/>
      <c r="AA146" s="6"/>
      <c r="AB146" s="6"/>
      <c r="AC146" s="6"/>
      <c r="AD146" s="6"/>
      <c r="AE146" s="6"/>
      <c r="AF146" s="6"/>
      <c r="AG146" s="6"/>
      <c r="AH146" s="6"/>
      <c r="AI146" s="6"/>
      <c r="AJ146" s="6" t="str">
        <f t="shared" si="3"/>
        <v/>
      </c>
      <c r="AK146" s="6"/>
      <c r="AL146" s="6"/>
      <c r="AM146" s="6"/>
      <c r="AN146" s="6"/>
      <c r="AO146" s="6"/>
    </row>
    <row r="147" spans="1:41" x14ac:dyDescent="0.3">
      <c r="A147" s="6" t="s">
        <v>841</v>
      </c>
      <c r="B147" s="6" t="s">
        <v>653</v>
      </c>
      <c r="C147" s="6" t="s">
        <v>840</v>
      </c>
      <c r="D147" s="6"/>
      <c r="E147" s="6"/>
      <c r="F147" s="6"/>
      <c r="G147" s="6"/>
      <c r="H147" s="6"/>
      <c r="I147" s="6"/>
      <c r="J147" s="6"/>
      <c r="K147" s="6"/>
      <c r="L147" s="6"/>
      <c r="M147" s="6"/>
      <c r="N147" s="6"/>
      <c r="O147" s="6"/>
      <c r="P147" s="6"/>
      <c r="Q147" s="6"/>
      <c r="R147" s="6"/>
      <c r="S147" s="6"/>
      <c r="T147" s="6"/>
      <c r="U147" s="6"/>
      <c r="V147" s="6"/>
      <c r="W147" s="6"/>
      <c r="X147" s="6"/>
      <c r="Y147" s="6"/>
      <c r="Z147" s="6"/>
      <c r="AA147" s="6"/>
      <c r="AB147" s="6"/>
      <c r="AC147" s="6"/>
      <c r="AD147" s="6"/>
      <c r="AE147" s="6"/>
      <c r="AF147" s="6"/>
      <c r="AG147" s="6"/>
      <c r="AH147" s="6"/>
      <c r="AI147" s="6"/>
      <c r="AJ147" s="6" t="str">
        <f t="shared" si="3"/>
        <v/>
      </c>
      <c r="AK147" s="6"/>
      <c r="AL147" s="6"/>
      <c r="AM147" s="6"/>
      <c r="AN147" s="6"/>
      <c r="AO147" s="6"/>
    </row>
    <row r="148" spans="1:41" x14ac:dyDescent="0.3">
      <c r="A148" s="6" t="s">
        <v>600</v>
      </c>
      <c r="B148" s="6" t="s">
        <v>662</v>
      </c>
      <c r="C148" s="6" t="s">
        <v>842</v>
      </c>
      <c r="D148" s="6"/>
      <c r="E148" s="6"/>
      <c r="F148" s="6"/>
      <c r="G148" s="6"/>
      <c r="H148" s="6"/>
      <c r="I148" s="6"/>
      <c r="J148" s="6"/>
      <c r="K148" s="6"/>
      <c r="L148" s="6"/>
      <c r="M148" s="6"/>
      <c r="N148" s="6"/>
      <c r="O148" s="6"/>
      <c r="P148" s="6"/>
      <c r="Q148" s="6"/>
      <c r="R148" s="6"/>
      <c r="S148" s="6"/>
      <c r="T148" s="6"/>
      <c r="U148" s="6"/>
      <c r="V148" s="6"/>
      <c r="W148" s="6"/>
      <c r="X148" s="6"/>
      <c r="Y148" s="6"/>
      <c r="Z148" s="6"/>
      <c r="AA148" s="6"/>
      <c r="AB148" s="6"/>
      <c r="AC148" s="6"/>
      <c r="AD148" s="6"/>
      <c r="AE148" s="6"/>
      <c r="AF148" s="6"/>
      <c r="AG148" s="6"/>
      <c r="AH148" s="6"/>
      <c r="AI148" s="6"/>
      <c r="AJ148" s="6" t="str">
        <f t="shared" si="3"/>
        <v/>
      </c>
      <c r="AK148" s="6"/>
      <c r="AL148" s="6"/>
      <c r="AM148" s="6"/>
      <c r="AN148" s="6"/>
      <c r="AO148" s="6"/>
    </row>
    <row r="149" spans="1:41" x14ac:dyDescent="0.3">
      <c r="A149" s="6" t="s">
        <v>601</v>
      </c>
      <c r="B149" s="6" t="s">
        <v>662</v>
      </c>
      <c r="C149" s="6" t="s">
        <v>843</v>
      </c>
      <c r="D149" s="6"/>
      <c r="E149" s="6"/>
      <c r="F149" s="6"/>
      <c r="G149" s="6"/>
      <c r="H149" s="6"/>
      <c r="I149" s="6"/>
      <c r="J149" s="6"/>
      <c r="K149" s="6"/>
      <c r="L149" s="6"/>
      <c r="M149" s="6"/>
      <c r="N149" s="6"/>
      <c r="O149" s="6"/>
      <c r="P149" s="6"/>
      <c r="Q149" s="6"/>
      <c r="R149" s="6"/>
      <c r="S149" s="6"/>
      <c r="T149" s="6"/>
      <c r="U149" s="6"/>
      <c r="V149" s="6"/>
      <c r="W149" s="6"/>
      <c r="X149" s="6"/>
      <c r="Y149" s="6"/>
      <c r="Z149" s="6"/>
      <c r="AA149" s="6"/>
      <c r="AB149" s="6"/>
      <c r="AC149" s="6"/>
      <c r="AD149" s="6"/>
      <c r="AE149" s="6"/>
      <c r="AF149" s="6"/>
      <c r="AG149" s="6"/>
      <c r="AH149" s="6"/>
      <c r="AI149" s="6"/>
      <c r="AJ149" s="6" t="str">
        <f t="shared" si="3"/>
        <v/>
      </c>
      <c r="AK149" s="6"/>
      <c r="AL149" s="6"/>
      <c r="AM149" s="6"/>
      <c r="AN149" s="6"/>
      <c r="AO149" s="6"/>
    </row>
    <row r="150" spans="1:41" x14ac:dyDescent="0.3">
      <c r="A150" s="6" t="s">
        <v>602</v>
      </c>
      <c r="B150" s="6" t="s">
        <v>651</v>
      </c>
      <c r="C150" s="6" t="s">
        <v>844</v>
      </c>
      <c r="D150" s="6"/>
      <c r="E150" s="6"/>
      <c r="F150" s="6"/>
      <c r="G150" s="6"/>
      <c r="H150" s="6"/>
      <c r="I150" s="6"/>
      <c r="J150" s="6"/>
      <c r="K150" s="6"/>
      <c r="L150" s="6"/>
      <c r="M150" s="6"/>
      <c r="N150" s="6"/>
      <c r="O150" s="6"/>
      <c r="P150" s="6"/>
      <c r="Q150" s="6"/>
      <c r="R150" s="6"/>
      <c r="S150" s="6"/>
      <c r="T150" s="6"/>
      <c r="U150" s="6"/>
      <c r="V150" s="6"/>
      <c r="W150" s="6"/>
      <c r="X150" s="6"/>
      <c r="Y150" s="6"/>
      <c r="Z150" s="6"/>
      <c r="AA150" s="6"/>
      <c r="AB150" s="6"/>
      <c r="AC150" s="6"/>
      <c r="AD150" s="6"/>
      <c r="AE150" s="6"/>
      <c r="AF150" s="6"/>
      <c r="AG150" s="6"/>
      <c r="AH150" s="6"/>
      <c r="AI150" s="6"/>
      <c r="AJ150" s="6" t="str">
        <f t="shared" si="3"/>
        <v/>
      </c>
      <c r="AK150" s="6"/>
      <c r="AL150" s="6"/>
      <c r="AM150" s="6"/>
      <c r="AN150" s="6"/>
      <c r="AO150" s="6"/>
    </row>
    <row r="151" spans="1:41" x14ac:dyDescent="0.3">
      <c r="A151" s="6" t="s">
        <v>603</v>
      </c>
      <c r="B151" s="6" t="s">
        <v>654</v>
      </c>
      <c r="C151" s="6" t="s">
        <v>845</v>
      </c>
      <c r="D151" s="6"/>
      <c r="E151" s="6"/>
      <c r="F151" s="6"/>
      <c r="G151" s="6"/>
      <c r="H151" s="6"/>
      <c r="I151" s="6"/>
      <c r="J151" s="6"/>
      <c r="K151" s="6"/>
      <c r="L151" s="6"/>
      <c r="M151" s="6"/>
      <c r="N151" s="6"/>
      <c r="O151" s="6"/>
      <c r="P151" s="6"/>
      <c r="Q151" s="6"/>
      <c r="R151" s="6"/>
      <c r="S151" s="6"/>
      <c r="T151" s="6"/>
      <c r="U151" s="6"/>
      <c r="V151" s="6"/>
      <c r="W151" s="6"/>
      <c r="X151" s="6"/>
      <c r="Y151" s="6"/>
      <c r="Z151" s="6"/>
      <c r="AA151" s="6"/>
      <c r="AB151" s="6"/>
      <c r="AC151" s="6"/>
      <c r="AD151" s="6"/>
      <c r="AE151" s="6"/>
      <c r="AF151" s="6"/>
      <c r="AG151" s="6"/>
      <c r="AH151" s="6"/>
      <c r="AI151" s="6"/>
      <c r="AJ151" s="6" t="str">
        <f t="shared" si="3"/>
        <v/>
      </c>
      <c r="AK151" s="6"/>
      <c r="AL151" s="6"/>
      <c r="AM151" s="6"/>
      <c r="AN151" s="6"/>
      <c r="AO151" s="6"/>
    </row>
    <row r="152" spans="1:41" x14ac:dyDescent="0.3">
      <c r="A152" s="6" t="s">
        <v>604</v>
      </c>
      <c r="B152" s="6" t="s">
        <v>651</v>
      </c>
      <c r="C152" s="6" t="s">
        <v>846</v>
      </c>
      <c r="D152" s="6"/>
      <c r="E152" s="6"/>
      <c r="F152" s="6"/>
      <c r="G152" s="6"/>
      <c r="H152" s="6"/>
      <c r="I152" s="6"/>
      <c r="J152" s="6"/>
      <c r="K152" s="6"/>
      <c r="L152" s="6"/>
      <c r="M152" s="6"/>
      <c r="N152" s="6"/>
      <c r="O152" s="6"/>
      <c r="P152" s="6"/>
      <c r="Q152" s="6"/>
      <c r="R152" s="6"/>
      <c r="S152" s="6"/>
      <c r="T152" s="6"/>
      <c r="U152" s="6"/>
      <c r="V152" s="6"/>
      <c r="W152" s="6"/>
      <c r="X152" s="6"/>
      <c r="Y152" s="6"/>
      <c r="Z152" s="6"/>
      <c r="AA152" s="6"/>
      <c r="AB152" s="6"/>
      <c r="AC152" s="6"/>
      <c r="AD152" s="6"/>
      <c r="AE152" s="6"/>
      <c r="AF152" s="6"/>
      <c r="AG152" s="6"/>
      <c r="AH152" s="6"/>
      <c r="AI152" s="6"/>
      <c r="AJ152" s="6" t="str">
        <f t="shared" si="3"/>
        <v/>
      </c>
      <c r="AK152" s="6"/>
      <c r="AL152" s="6"/>
      <c r="AM152" s="6"/>
      <c r="AN152" s="6"/>
      <c r="AO152" s="6"/>
    </row>
    <row r="153" spans="1:41" x14ac:dyDescent="0.3">
      <c r="A153" s="6" t="s">
        <v>605</v>
      </c>
      <c r="B153" s="6" t="s">
        <v>651</v>
      </c>
      <c r="C153" s="6" t="s">
        <v>848</v>
      </c>
      <c r="D153" s="6"/>
      <c r="E153" s="6"/>
      <c r="F153" s="6"/>
      <c r="G153" s="6"/>
      <c r="H153" s="6"/>
      <c r="I153" s="6"/>
      <c r="J153" s="6"/>
      <c r="K153" s="6"/>
      <c r="L153" s="6"/>
      <c r="M153" s="6"/>
      <c r="N153" s="6"/>
      <c r="O153" s="6"/>
      <c r="P153" s="6"/>
      <c r="Q153" s="6"/>
      <c r="R153" s="6"/>
      <c r="S153" s="6"/>
      <c r="T153" s="6"/>
      <c r="U153" s="6"/>
      <c r="V153" s="6"/>
      <c r="W153" s="6"/>
      <c r="X153" s="6"/>
      <c r="Y153" s="6"/>
      <c r="Z153" s="6"/>
      <c r="AA153" s="6"/>
      <c r="AB153" s="6"/>
      <c r="AC153" s="6"/>
      <c r="AD153" s="6"/>
      <c r="AE153" s="6"/>
      <c r="AF153" s="6"/>
      <c r="AG153" s="6"/>
      <c r="AH153" s="6"/>
      <c r="AI153" s="6"/>
      <c r="AJ153" s="6" t="str">
        <f t="shared" si="3"/>
        <v/>
      </c>
      <c r="AK153" s="6"/>
      <c r="AL153" s="6"/>
      <c r="AM153" s="6"/>
      <c r="AN153" s="6"/>
      <c r="AO153" s="6"/>
    </row>
    <row r="154" spans="1:41" x14ac:dyDescent="0.3">
      <c r="A154" s="6" t="s">
        <v>606</v>
      </c>
      <c r="B154" s="6" t="s">
        <v>662</v>
      </c>
      <c r="C154" s="6" t="s">
        <v>850</v>
      </c>
      <c r="D154" s="6"/>
      <c r="E154" s="6"/>
      <c r="F154" s="6"/>
      <c r="G154" s="6"/>
      <c r="H154" s="6"/>
      <c r="I154" s="6"/>
      <c r="J154" s="6"/>
      <c r="K154" s="6"/>
      <c r="L154" s="6"/>
      <c r="M154" s="6"/>
      <c r="N154" s="6"/>
      <c r="O154" s="6"/>
      <c r="P154" s="6"/>
      <c r="Q154" s="6"/>
      <c r="R154" s="6"/>
      <c r="S154" s="6"/>
      <c r="T154" s="6"/>
      <c r="U154" s="6"/>
      <c r="V154" s="6"/>
      <c r="W154" s="6"/>
      <c r="X154" s="6"/>
      <c r="Y154" s="6"/>
      <c r="Z154" s="6"/>
      <c r="AA154" s="6"/>
      <c r="AB154" s="6"/>
      <c r="AC154" s="6"/>
      <c r="AD154" s="6"/>
      <c r="AE154" s="6"/>
      <c r="AF154" s="6"/>
      <c r="AG154" s="6"/>
      <c r="AH154" s="6"/>
      <c r="AI154" s="6"/>
      <c r="AJ154" s="6" t="str">
        <f t="shared" si="3"/>
        <v/>
      </c>
      <c r="AK154" s="6"/>
      <c r="AL154" s="6"/>
      <c r="AM154" s="6"/>
      <c r="AN154" s="6"/>
      <c r="AO154" s="6"/>
    </row>
    <row r="155" spans="1:41" x14ac:dyDescent="0.3">
      <c r="A155" s="6" t="s">
        <v>607</v>
      </c>
      <c r="B155" s="6" t="s">
        <v>653</v>
      </c>
      <c r="C155" s="6" t="s">
        <v>851</v>
      </c>
      <c r="D155" s="6"/>
      <c r="E155" s="6"/>
      <c r="F155" s="6"/>
      <c r="G155" s="6"/>
      <c r="H155" s="6"/>
      <c r="I155" s="6"/>
      <c r="J155" s="6"/>
      <c r="K155" s="6"/>
      <c r="L155" s="6"/>
      <c r="M155" s="6"/>
      <c r="N155" s="6"/>
      <c r="O155" s="6"/>
      <c r="P155" s="6"/>
      <c r="Q155" s="6"/>
      <c r="R155" s="6"/>
      <c r="S155" s="6"/>
      <c r="T155" s="6"/>
      <c r="U155" s="6"/>
      <c r="V155" s="6"/>
      <c r="W155" s="6"/>
      <c r="X155" s="6"/>
      <c r="Y155" s="6"/>
      <c r="Z155" s="6"/>
      <c r="AA155" s="6"/>
      <c r="AB155" s="6"/>
      <c r="AC155" s="6"/>
      <c r="AD155" s="6"/>
      <c r="AE155" s="6"/>
      <c r="AF155" s="6"/>
      <c r="AG155" s="6"/>
      <c r="AH155" s="6"/>
      <c r="AI155" s="6"/>
      <c r="AJ155" s="6" t="str">
        <f t="shared" si="3"/>
        <v/>
      </c>
      <c r="AK155" s="6"/>
      <c r="AL155" s="6"/>
      <c r="AM155" s="6"/>
      <c r="AN155" s="6"/>
      <c r="AO155" s="6"/>
    </row>
    <row r="156" spans="1:41" ht="28.8" x14ac:dyDescent="0.3">
      <c r="A156" s="6" t="s">
        <v>608</v>
      </c>
      <c r="B156" s="6" t="s">
        <v>653</v>
      </c>
      <c r="C156" s="6" t="s">
        <v>631</v>
      </c>
      <c r="D156" s="6"/>
      <c r="E156" s="6"/>
      <c r="F156" s="6"/>
      <c r="G156" s="6"/>
      <c r="H156" s="6"/>
      <c r="I156" s="6"/>
      <c r="J156" s="6"/>
      <c r="K156" s="6"/>
      <c r="L156" s="6"/>
      <c r="M156" s="6"/>
      <c r="N156" s="6"/>
      <c r="O156" s="6"/>
      <c r="P156" s="6"/>
      <c r="Q156" s="6"/>
      <c r="R156" s="6"/>
      <c r="S156" s="6"/>
      <c r="T156" s="6"/>
      <c r="U156" s="6"/>
      <c r="V156" s="6"/>
      <c r="W156" s="6"/>
      <c r="X156" s="6"/>
      <c r="Y156" s="6"/>
      <c r="Z156" s="6"/>
      <c r="AA156" s="6"/>
      <c r="AB156" s="6"/>
      <c r="AC156" s="6"/>
      <c r="AD156" s="6"/>
      <c r="AE156" s="6"/>
      <c r="AF156" s="6"/>
      <c r="AG156" s="6"/>
      <c r="AH156" s="6"/>
      <c r="AI156" s="6"/>
      <c r="AJ156" s="6" t="str">
        <f t="shared" si="3"/>
        <v/>
      </c>
      <c r="AK156" s="6"/>
      <c r="AL156" s="6"/>
      <c r="AM156" s="6"/>
      <c r="AN156" s="6"/>
      <c r="AO156" s="7" t="s">
        <v>854</v>
      </c>
    </row>
    <row r="157" spans="1:41" x14ac:dyDescent="0.3">
      <c r="A157" s="6" t="s">
        <v>609</v>
      </c>
      <c r="B157" s="6" t="s">
        <v>653</v>
      </c>
      <c r="C157" s="6" t="s">
        <v>855</v>
      </c>
      <c r="D157" s="6"/>
      <c r="E157" s="6"/>
      <c r="F157" s="6"/>
      <c r="G157" s="6"/>
      <c r="H157" s="6"/>
      <c r="I157" s="6"/>
      <c r="J157" s="6"/>
      <c r="K157" s="6"/>
      <c r="L157" s="6"/>
      <c r="M157" s="6"/>
      <c r="N157" s="6"/>
      <c r="O157" s="6"/>
      <c r="P157" s="6"/>
      <c r="Q157" s="6"/>
      <c r="R157" s="6"/>
      <c r="S157" s="6"/>
      <c r="T157" s="6"/>
      <c r="U157" s="6"/>
      <c r="V157" s="6"/>
      <c r="W157" s="6"/>
      <c r="X157" s="6"/>
      <c r="Y157" s="6"/>
      <c r="Z157" s="6"/>
      <c r="AA157" s="6"/>
      <c r="AB157" s="6"/>
      <c r="AC157" s="6"/>
      <c r="AD157" s="6"/>
      <c r="AE157" s="6"/>
      <c r="AF157" s="6"/>
      <c r="AG157" s="6"/>
      <c r="AH157" s="6"/>
      <c r="AI157" s="6"/>
      <c r="AJ157" s="6" t="str">
        <f t="shared" si="3"/>
        <v/>
      </c>
      <c r="AK157" s="6"/>
      <c r="AL157" s="6"/>
      <c r="AM157" s="6"/>
      <c r="AN157" s="6"/>
      <c r="AO157" s="6"/>
    </row>
    <row r="158" spans="1:41" ht="28.8" x14ac:dyDescent="0.3">
      <c r="A158" s="6" t="s">
        <v>610</v>
      </c>
      <c r="B158" s="6" t="s">
        <v>21</v>
      </c>
      <c r="C158" s="7" t="s">
        <v>857</v>
      </c>
      <c r="D158" s="6"/>
      <c r="E158" s="6"/>
      <c r="F158" s="6"/>
      <c r="G158" s="6"/>
      <c r="H158" s="6"/>
      <c r="I158" s="6"/>
      <c r="J158" s="6"/>
      <c r="K158" s="6"/>
      <c r="L158" s="6"/>
      <c r="M158" s="6"/>
      <c r="N158" s="6"/>
      <c r="O158" s="6"/>
      <c r="P158" s="6"/>
      <c r="Q158" s="6"/>
      <c r="R158" s="6"/>
      <c r="S158" s="6"/>
      <c r="T158" s="6"/>
      <c r="U158" s="6"/>
      <c r="V158" s="6"/>
      <c r="W158" s="6"/>
      <c r="X158" s="6"/>
      <c r="Y158" s="6"/>
      <c r="Z158" s="6"/>
      <c r="AA158" s="6"/>
      <c r="AB158" s="6"/>
      <c r="AC158" s="6"/>
      <c r="AD158" s="6"/>
      <c r="AE158" s="6"/>
      <c r="AF158" s="6"/>
      <c r="AG158" s="6"/>
      <c r="AH158" s="6"/>
      <c r="AI158" s="6"/>
      <c r="AJ158" s="6" t="str">
        <f t="shared" si="3"/>
        <v/>
      </c>
      <c r="AK158" s="6"/>
      <c r="AL158" s="6"/>
      <c r="AM158" s="6"/>
      <c r="AN158" s="6"/>
      <c r="AO158" s="6"/>
    </row>
    <row r="159" spans="1:41" x14ac:dyDescent="0.3">
      <c r="A159" s="6" t="s">
        <v>611</v>
      </c>
      <c r="B159" s="6" t="s">
        <v>653</v>
      </c>
      <c r="C159" s="6" t="s">
        <v>856</v>
      </c>
      <c r="D159" s="6"/>
      <c r="E159" s="6"/>
      <c r="F159" s="6"/>
      <c r="G159" s="6"/>
      <c r="H159" s="6"/>
      <c r="I159" s="6"/>
      <c r="J159" s="6"/>
      <c r="K159" s="6"/>
      <c r="L159" s="6"/>
      <c r="M159" s="6"/>
      <c r="N159" s="6"/>
      <c r="O159" s="6"/>
      <c r="P159" s="6"/>
      <c r="Q159" s="6"/>
      <c r="R159" s="6"/>
      <c r="S159" s="6"/>
      <c r="T159" s="6"/>
      <c r="U159" s="6"/>
      <c r="V159" s="6"/>
      <c r="W159" s="6"/>
      <c r="X159" s="6"/>
      <c r="Y159" s="6"/>
      <c r="Z159" s="6"/>
      <c r="AA159" s="6"/>
      <c r="AB159" s="6"/>
      <c r="AC159" s="6"/>
      <c r="AD159" s="6"/>
      <c r="AE159" s="6"/>
      <c r="AF159" s="6"/>
      <c r="AG159" s="6"/>
      <c r="AH159" s="6"/>
      <c r="AI159" s="6"/>
      <c r="AJ159" s="6" t="str">
        <f t="shared" si="3"/>
        <v/>
      </c>
      <c r="AK159" s="6"/>
      <c r="AL159" s="6"/>
      <c r="AM159" s="6"/>
      <c r="AN159" s="6"/>
      <c r="AO159" s="6"/>
    </row>
    <row r="160" spans="1:41" x14ac:dyDescent="0.3">
      <c r="A160" s="6" t="s">
        <v>612</v>
      </c>
      <c r="B160" s="6" t="s">
        <v>21</v>
      </c>
      <c r="C160" s="7" t="s">
        <v>898</v>
      </c>
      <c r="D160" s="6"/>
      <c r="E160" s="6"/>
      <c r="F160" s="6"/>
      <c r="G160" s="6"/>
      <c r="H160" s="6"/>
      <c r="I160" s="6"/>
      <c r="J160" s="6"/>
      <c r="K160" s="6"/>
      <c r="L160" s="6"/>
      <c r="M160" s="6"/>
      <c r="N160" s="6"/>
      <c r="O160" s="6"/>
      <c r="P160" s="6"/>
      <c r="Q160" s="6"/>
      <c r="R160" s="6"/>
      <c r="S160" s="6"/>
      <c r="T160" s="6"/>
      <c r="U160" s="6"/>
      <c r="V160" s="6"/>
      <c r="W160" s="6"/>
      <c r="X160" s="6"/>
      <c r="Y160" s="6"/>
      <c r="Z160" s="6"/>
      <c r="AA160" s="6"/>
      <c r="AB160" s="6"/>
      <c r="AC160" s="6"/>
      <c r="AD160" s="6"/>
      <c r="AE160" s="6"/>
      <c r="AF160" s="6"/>
      <c r="AG160" s="6"/>
      <c r="AH160" s="6"/>
      <c r="AI160" s="6"/>
      <c r="AJ160" s="6" t="str">
        <f t="shared" si="3"/>
        <v/>
      </c>
      <c r="AK160" s="6"/>
      <c r="AL160" s="6"/>
      <c r="AM160" s="6"/>
      <c r="AN160" s="6"/>
      <c r="AO160" s="6"/>
    </row>
    <row r="161" spans="1:41" x14ac:dyDescent="0.3">
      <c r="A161" s="6" t="s">
        <v>613</v>
      </c>
      <c r="B161" s="6" t="s">
        <v>654</v>
      </c>
      <c r="C161" s="6" t="s">
        <v>858</v>
      </c>
      <c r="D161" s="6"/>
      <c r="E161" s="6"/>
      <c r="F161" s="6"/>
      <c r="G161" s="6"/>
      <c r="H161" s="6"/>
      <c r="I161" s="6"/>
      <c r="J161" s="6"/>
      <c r="K161" s="6"/>
      <c r="L161" s="6"/>
      <c r="M161" s="6"/>
      <c r="N161" s="6"/>
      <c r="O161" s="6"/>
      <c r="P161" s="6"/>
      <c r="Q161" s="6"/>
      <c r="R161" s="6"/>
      <c r="S161" s="6"/>
      <c r="T161" s="6"/>
      <c r="U161" s="6"/>
      <c r="V161" s="6"/>
      <c r="W161" s="6"/>
      <c r="X161" s="6"/>
      <c r="Y161" s="6"/>
      <c r="Z161" s="6"/>
      <c r="AA161" s="6"/>
      <c r="AB161" s="6"/>
      <c r="AC161" s="6"/>
      <c r="AD161" s="6"/>
      <c r="AE161" s="6"/>
      <c r="AF161" s="6"/>
      <c r="AG161" s="6"/>
      <c r="AH161" s="6"/>
      <c r="AI161" s="6"/>
      <c r="AJ161" s="6" t="str">
        <f t="shared" si="3"/>
        <v/>
      </c>
      <c r="AK161" s="6"/>
      <c r="AL161" s="6"/>
      <c r="AM161" s="6"/>
      <c r="AN161" s="6"/>
      <c r="AO161" s="6"/>
    </row>
    <row r="162" spans="1:41" x14ac:dyDescent="0.3">
      <c r="A162" s="6" t="s">
        <v>614</v>
      </c>
      <c r="B162" s="6" t="s">
        <v>651</v>
      </c>
      <c r="C162" s="6" t="s">
        <v>668</v>
      </c>
      <c r="D162" s="6"/>
      <c r="E162" s="6"/>
      <c r="F162" s="6"/>
      <c r="G162" s="6"/>
      <c r="H162" s="6"/>
      <c r="I162" s="6"/>
      <c r="J162" s="6"/>
      <c r="K162" s="6"/>
      <c r="L162" s="6"/>
      <c r="M162" s="6"/>
      <c r="N162" s="6"/>
      <c r="O162" s="6"/>
      <c r="P162" s="6"/>
      <c r="Q162" s="6"/>
      <c r="R162" s="6"/>
      <c r="S162" s="6"/>
      <c r="T162" s="6"/>
      <c r="U162" s="6"/>
      <c r="V162" s="6"/>
      <c r="W162" s="6"/>
      <c r="X162" s="6"/>
      <c r="Y162" s="6"/>
      <c r="Z162" s="6"/>
      <c r="AA162" s="6"/>
      <c r="AB162" s="6"/>
      <c r="AC162" s="6"/>
      <c r="AD162" s="6"/>
      <c r="AE162" s="6"/>
      <c r="AF162" s="6"/>
      <c r="AG162" s="6"/>
      <c r="AH162" s="6"/>
      <c r="AI162" s="6"/>
      <c r="AJ162" s="6" t="str">
        <f t="shared" si="3"/>
        <v/>
      </c>
      <c r="AK162" s="6"/>
      <c r="AL162" s="6"/>
      <c r="AM162" s="6"/>
      <c r="AN162" s="6"/>
      <c r="AO162" s="6"/>
    </row>
    <row r="163" spans="1:41" x14ac:dyDescent="0.3">
      <c r="A163" s="6" t="s">
        <v>615</v>
      </c>
      <c r="B163" s="6" t="s">
        <v>662</v>
      </c>
      <c r="C163" s="6" t="s">
        <v>859</v>
      </c>
      <c r="D163" s="6"/>
      <c r="E163" s="6"/>
      <c r="F163" s="6"/>
      <c r="G163" s="6"/>
      <c r="H163" s="6"/>
      <c r="I163" s="6"/>
      <c r="J163" s="6"/>
      <c r="K163" s="6"/>
      <c r="L163" s="6"/>
      <c r="M163" s="6"/>
      <c r="N163" s="6"/>
      <c r="O163" s="6"/>
      <c r="P163" s="6"/>
      <c r="Q163" s="6"/>
      <c r="R163" s="6"/>
      <c r="S163" s="6"/>
      <c r="T163" s="6"/>
      <c r="U163" s="6"/>
      <c r="V163" s="6"/>
      <c r="W163" s="6"/>
      <c r="X163" s="6"/>
      <c r="Y163" s="6"/>
      <c r="Z163" s="6"/>
      <c r="AA163" s="6"/>
      <c r="AB163" s="6"/>
      <c r="AC163" s="6"/>
      <c r="AD163" s="6"/>
      <c r="AE163" s="6"/>
      <c r="AF163" s="6"/>
      <c r="AG163" s="6"/>
      <c r="AH163" s="6"/>
      <c r="AI163" s="6"/>
      <c r="AJ163" s="6" t="str">
        <f t="shared" si="3"/>
        <v/>
      </c>
      <c r="AK163" s="6"/>
      <c r="AL163" s="6"/>
      <c r="AM163" s="6"/>
      <c r="AN163" s="6"/>
      <c r="AO163" s="6"/>
    </row>
    <row r="164" spans="1:41" x14ac:dyDescent="0.3">
      <c r="A164" s="6" t="s">
        <v>616</v>
      </c>
      <c r="B164" s="6" t="s">
        <v>654</v>
      </c>
      <c r="C164" s="6" t="s">
        <v>860</v>
      </c>
      <c r="D164" s="6"/>
      <c r="E164" s="6"/>
      <c r="F164" s="6"/>
      <c r="G164" s="6"/>
      <c r="H164" s="6"/>
      <c r="I164" s="6"/>
      <c r="J164" s="6"/>
      <c r="K164" s="6"/>
      <c r="L164" s="6"/>
      <c r="M164" s="6"/>
      <c r="N164" s="6"/>
      <c r="O164" s="6"/>
      <c r="P164" s="6"/>
      <c r="Q164" s="6"/>
      <c r="R164" s="6"/>
      <c r="S164" s="6"/>
      <c r="T164" s="6"/>
      <c r="U164" s="6"/>
      <c r="V164" s="6"/>
      <c r="W164" s="6"/>
      <c r="X164" s="6"/>
      <c r="Y164" s="6"/>
      <c r="Z164" s="6"/>
      <c r="AA164" s="6"/>
      <c r="AB164" s="6"/>
      <c r="AC164" s="6"/>
      <c r="AD164" s="6"/>
      <c r="AE164" s="6"/>
      <c r="AF164" s="6"/>
      <c r="AG164" s="6"/>
      <c r="AH164" s="6"/>
      <c r="AI164" s="6"/>
      <c r="AJ164" s="6" t="str">
        <f t="shared" si="3"/>
        <v/>
      </c>
      <c r="AK164" s="6"/>
      <c r="AL164" s="6"/>
      <c r="AM164" s="6"/>
      <c r="AN164" s="6"/>
      <c r="AO164" s="6" t="s">
        <v>861</v>
      </c>
    </row>
    <row r="165" spans="1:41" x14ac:dyDescent="0.3">
      <c r="A165" s="6" t="s">
        <v>617</v>
      </c>
      <c r="B165" s="6" t="s">
        <v>662</v>
      </c>
      <c r="C165" s="6" t="s">
        <v>862</v>
      </c>
      <c r="D165" s="6"/>
      <c r="E165" s="6"/>
      <c r="F165" s="6"/>
      <c r="G165" s="6"/>
      <c r="H165" s="6"/>
      <c r="I165" s="6"/>
      <c r="J165" s="6"/>
      <c r="K165" s="6"/>
      <c r="L165" s="6"/>
      <c r="M165" s="6"/>
      <c r="N165" s="6"/>
      <c r="O165" s="6"/>
      <c r="P165" s="6"/>
      <c r="Q165" s="6"/>
      <c r="R165" s="6"/>
      <c r="S165" s="6"/>
      <c r="T165" s="6"/>
      <c r="U165" s="6"/>
      <c r="V165" s="6"/>
      <c r="W165" s="6"/>
      <c r="X165" s="6"/>
      <c r="Y165" s="6"/>
      <c r="Z165" s="6"/>
      <c r="AA165" s="6"/>
      <c r="AB165" s="6"/>
      <c r="AC165" s="6"/>
      <c r="AD165" s="6"/>
      <c r="AE165" s="6"/>
      <c r="AF165" s="6"/>
      <c r="AG165" s="6"/>
      <c r="AH165" s="6"/>
      <c r="AI165" s="6"/>
      <c r="AJ165" s="6" t="str">
        <f t="shared" si="3"/>
        <v/>
      </c>
      <c r="AK165" s="6"/>
      <c r="AL165" s="6"/>
      <c r="AM165" s="6"/>
      <c r="AN165" s="6"/>
      <c r="AO165" s="6"/>
    </row>
    <row r="166" spans="1:41" x14ac:dyDescent="0.3">
      <c r="A166" s="6" t="s">
        <v>618</v>
      </c>
      <c r="B166" s="6" t="s">
        <v>662</v>
      </c>
      <c r="C166" s="6" t="s">
        <v>863</v>
      </c>
      <c r="D166" s="6"/>
      <c r="E166" s="6"/>
      <c r="F166" s="6"/>
      <c r="G166" s="6"/>
      <c r="H166" s="6"/>
      <c r="I166" s="6"/>
      <c r="J166" s="6"/>
      <c r="K166" s="6"/>
      <c r="L166" s="6"/>
      <c r="M166" s="6"/>
      <c r="N166" s="6"/>
      <c r="O166" s="6"/>
      <c r="P166" s="6"/>
      <c r="Q166" s="6"/>
      <c r="R166" s="6"/>
      <c r="S166" s="6"/>
      <c r="T166" s="6"/>
      <c r="U166" s="6"/>
      <c r="V166" s="6"/>
      <c r="W166" s="6"/>
      <c r="X166" s="6"/>
      <c r="Y166" s="6"/>
      <c r="Z166" s="6"/>
      <c r="AA166" s="6"/>
      <c r="AB166" s="6"/>
      <c r="AC166" s="6"/>
      <c r="AD166" s="6"/>
      <c r="AE166" s="6"/>
      <c r="AF166" s="6"/>
      <c r="AG166" s="6"/>
      <c r="AH166" s="6"/>
      <c r="AI166" s="6"/>
      <c r="AJ166" s="6" t="str">
        <f t="shared" si="3"/>
        <v/>
      </c>
      <c r="AK166" s="6"/>
      <c r="AL166" s="6"/>
      <c r="AM166" s="6"/>
      <c r="AN166" s="6"/>
      <c r="AO166" s="6"/>
    </row>
    <row r="167" spans="1:41" x14ac:dyDescent="0.3">
      <c r="A167" s="6" t="s">
        <v>619</v>
      </c>
      <c r="B167" s="6" t="s">
        <v>651</v>
      </c>
      <c r="C167" s="6" t="s">
        <v>738</v>
      </c>
      <c r="D167" s="6"/>
      <c r="E167" s="6"/>
      <c r="F167" s="6"/>
      <c r="G167" s="6"/>
      <c r="H167" s="6"/>
      <c r="I167" s="6"/>
      <c r="J167" s="6"/>
      <c r="K167" s="6"/>
      <c r="L167" s="6"/>
      <c r="M167" s="6"/>
      <c r="N167" s="6"/>
      <c r="O167" s="6"/>
      <c r="P167" s="6"/>
      <c r="Q167" s="6"/>
      <c r="R167" s="6"/>
      <c r="S167" s="6"/>
      <c r="T167" s="6"/>
      <c r="U167" s="6"/>
      <c r="V167" s="6"/>
      <c r="W167" s="6"/>
      <c r="X167" s="6"/>
      <c r="Y167" s="6"/>
      <c r="Z167" s="6"/>
      <c r="AA167" s="6"/>
      <c r="AB167" s="6"/>
      <c r="AC167" s="6"/>
      <c r="AD167" s="6"/>
      <c r="AE167" s="6"/>
      <c r="AF167" s="6"/>
      <c r="AG167" s="6"/>
      <c r="AH167" s="6"/>
      <c r="AI167" s="6"/>
      <c r="AJ167" s="6" t="str">
        <f t="shared" si="3"/>
        <v/>
      </c>
      <c r="AK167" s="6"/>
      <c r="AL167" s="6"/>
      <c r="AM167" s="6"/>
      <c r="AN167" s="6"/>
      <c r="AO167" s="6"/>
    </row>
    <row r="168" spans="1:41" x14ac:dyDescent="0.3">
      <c r="A168" s="6" t="s">
        <v>620</v>
      </c>
      <c r="B168" s="6" t="s">
        <v>653</v>
      </c>
      <c r="C168" s="6" t="s">
        <v>864</v>
      </c>
      <c r="D168" s="6"/>
      <c r="E168" s="6"/>
      <c r="F168" s="6"/>
      <c r="G168" s="6"/>
      <c r="H168" s="6"/>
      <c r="I168" s="6"/>
      <c r="J168" s="6"/>
      <c r="K168" s="6"/>
      <c r="L168" s="6"/>
      <c r="M168" s="6"/>
      <c r="N168" s="6"/>
      <c r="O168" s="6"/>
      <c r="P168" s="6"/>
      <c r="Q168" s="6"/>
      <c r="R168" s="6"/>
      <c r="S168" s="6"/>
      <c r="T168" s="6"/>
      <c r="U168" s="6"/>
      <c r="V168" s="6"/>
      <c r="W168" s="6"/>
      <c r="X168" s="6"/>
      <c r="Y168" s="6"/>
      <c r="Z168" s="6"/>
      <c r="AA168" s="6"/>
      <c r="AB168" s="6"/>
      <c r="AC168" s="6"/>
      <c r="AD168" s="6"/>
      <c r="AE168" s="6"/>
      <c r="AF168" s="6"/>
      <c r="AG168" s="6"/>
      <c r="AH168" s="6"/>
      <c r="AI168" s="6"/>
      <c r="AJ168" s="6" t="str">
        <f t="shared" si="3"/>
        <v/>
      </c>
      <c r="AK168" s="6"/>
      <c r="AL168" s="6"/>
      <c r="AM168" s="6"/>
      <c r="AN168" s="6"/>
      <c r="AO168" s="6"/>
    </row>
    <row r="169" spans="1:41" x14ac:dyDescent="0.3">
      <c r="A169" s="6" t="s">
        <v>621</v>
      </c>
      <c r="B169" s="6" t="s">
        <v>651</v>
      </c>
      <c r="C169" s="6" t="s">
        <v>473</v>
      </c>
      <c r="D169" s="6"/>
      <c r="E169" s="6"/>
      <c r="F169" s="6"/>
      <c r="G169" s="6"/>
      <c r="H169" s="6"/>
      <c r="I169" s="6"/>
      <c r="J169" s="6"/>
      <c r="K169" s="6"/>
      <c r="L169" s="6"/>
      <c r="M169" s="6"/>
      <c r="N169" s="6"/>
      <c r="O169" s="6"/>
      <c r="P169" s="6"/>
      <c r="Q169" s="6"/>
      <c r="R169" s="6"/>
      <c r="S169" s="6"/>
      <c r="T169" s="6"/>
      <c r="U169" s="6"/>
      <c r="V169" s="6"/>
      <c r="W169" s="6"/>
      <c r="X169" s="6"/>
      <c r="Y169" s="6"/>
      <c r="Z169" s="6"/>
      <c r="AA169" s="6"/>
      <c r="AB169" s="6"/>
      <c r="AC169" s="6"/>
      <c r="AD169" s="6"/>
      <c r="AE169" s="6"/>
      <c r="AF169" s="6"/>
      <c r="AG169" s="6"/>
      <c r="AH169" s="6"/>
      <c r="AI169" s="6"/>
      <c r="AJ169" s="6" t="str">
        <f t="shared" si="3"/>
        <v/>
      </c>
      <c r="AK169" s="6"/>
      <c r="AL169" s="6"/>
      <c r="AM169" s="6"/>
      <c r="AN169" s="6"/>
      <c r="AO169" s="6"/>
    </row>
    <row r="170" spans="1:41" x14ac:dyDescent="0.3">
      <c r="A170" s="6" t="s">
        <v>622</v>
      </c>
      <c r="B170" s="6" t="s">
        <v>652</v>
      </c>
      <c r="C170" s="6" t="s">
        <v>868</v>
      </c>
      <c r="D170" s="6"/>
      <c r="E170" s="6"/>
      <c r="F170" s="6"/>
      <c r="G170" s="6"/>
      <c r="H170" s="6"/>
      <c r="I170" s="6"/>
      <c r="J170" s="6"/>
      <c r="K170" s="6"/>
      <c r="L170" s="6"/>
      <c r="M170" s="6"/>
      <c r="N170" s="6"/>
      <c r="O170" s="6"/>
      <c r="P170" s="6"/>
      <c r="Q170" s="6"/>
      <c r="R170" s="6"/>
      <c r="S170" s="6"/>
      <c r="T170" s="6"/>
      <c r="U170" s="6"/>
      <c r="V170" s="6"/>
      <c r="W170" s="6"/>
      <c r="X170" s="6"/>
      <c r="Y170" s="6"/>
      <c r="Z170" s="6"/>
      <c r="AA170" s="6"/>
      <c r="AB170" s="6"/>
      <c r="AC170" s="6"/>
      <c r="AD170" s="6"/>
      <c r="AE170" s="6"/>
      <c r="AF170" s="6"/>
      <c r="AG170" s="6"/>
      <c r="AH170" s="6"/>
      <c r="AI170" s="6"/>
      <c r="AJ170" s="6" t="str">
        <f t="shared" si="3"/>
        <v/>
      </c>
      <c r="AK170" s="6"/>
      <c r="AL170" s="6"/>
      <c r="AM170" s="6"/>
      <c r="AN170" s="6"/>
      <c r="AO170" s="6"/>
    </row>
    <row r="171" spans="1:41" x14ac:dyDescent="0.3">
      <c r="A171" s="6" t="s">
        <v>623</v>
      </c>
      <c r="B171" s="6" t="s">
        <v>652</v>
      </c>
      <c r="C171" s="6" t="s">
        <v>869</v>
      </c>
      <c r="D171" s="6"/>
      <c r="E171" s="6"/>
      <c r="F171" s="6"/>
      <c r="G171" s="6"/>
      <c r="H171" s="6"/>
      <c r="I171" s="6"/>
      <c r="J171" s="6"/>
      <c r="K171" s="6"/>
      <c r="L171" s="6"/>
      <c r="M171" s="6"/>
      <c r="N171" s="6"/>
      <c r="O171" s="6"/>
      <c r="P171" s="6"/>
      <c r="Q171" s="6"/>
      <c r="R171" s="6"/>
      <c r="S171" s="6"/>
      <c r="T171" s="6"/>
      <c r="U171" s="6"/>
      <c r="V171" s="6"/>
      <c r="W171" s="6"/>
      <c r="X171" s="6"/>
      <c r="Y171" s="6"/>
      <c r="Z171" s="6"/>
      <c r="AA171" s="6"/>
      <c r="AB171" s="6"/>
      <c r="AC171" s="6"/>
      <c r="AD171" s="6"/>
      <c r="AE171" s="6"/>
      <c r="AF171" s="6"/>
      <c r="AG171" s="6"/>
      <c r="AH171" s="6"/>
      <c r="AI171" s="6"/>
      <c r="AJ171" s="6" t="str">
        <f t="shared" si="3"/>
        <v/>
      </c>
      <c r="AK171" s="6"/>
      <c r="AL171" s="6"/>
      <c r="AM171" s="6"/>
      <c r="AN171" s="6"/>
      <c r="AO171" s="6"/>
    </row>
    <row r="172" spans="1:41" ht="57.6" x14ac:dyDescent="0.3">
      <c r="A172" s="6" t="s">
        <v>624</v>
      </c>
      <c r="B172" s="6" t="s">
        <v>662</v>
      </c>
      <c r="C172" s="6" t="s">
        <v>871</v>
      </c>
      <c r="D172" s="6"/>
      <c r="E172" s="6"/>
      <c r="F172" s="6"/>
      <c r="G172" s="6"/>
      <c r="H172" s="6"/>
      <c r="I172" s="6"/>
      <c r="J172" s="6"/>
      <c r="K172" s="6"/>
      <c r="L172" s="6"/>
      <c r="M172" s="6"/>
      <c r="N172" s="6"/>
      <c r="O172" s="6"/>
      <c r="P172" s="6"/>
      <c r="Q172" s="6"/>
      <c r="R172" s="6"/>
      <c r="S172" s="6"/>
      <c r="T172" s="6"/>
      <c r="U172" s="6"/>
      <c r="V172" s="6"/>
      <c r="W172" s="6"/>
      <c r="X172" s="6"/>
      <c r="Y172" s="6"/>
      <c r="Z172" s="6"/>
      <c r="AA172" s="6"/>
      <c r="AB172" s="6"/>
      <c r="AC172" s="6"/>
      <c r="AD172" s="6"/>
      <c r="AE172" s="6"/>
      <c r="AF172" s="6"/>
      <c r="AG172" s="6"/>
      <c r="AH172" s="6"/>
      <c r="AI172" s="6"/>
      <c r="AJ172" s="6" t="str">
        <f t="shared" si="3"/>
        <v/>
      </c>
      <c r="AK172" s="6"/>
      <c r="AL172" s="6"/>
      <c r="AM172" s="6"/>
      <c r="AN172" s="6"/>
      <c r="AO172" s="7" t="s">
        <v>666</v>
      </c>
    </row>
    <row r="173" spans="1:41" x14ac:dyDescent="0.3">
      <c r="A173" s="6" t="s">
        <v>625</v>
      </c>
      <c r="B173" s="6" t="s">
        <v>21</v>
      </c>
      <c r="C173" s="6" t="s">
        <v>872</v>
      </c>
      <c r="D173" s="6"/>
      <c r="E173" s="6"/>
      <c r="F173" s="6"/>
      <c r="G173" s="6"/>
      <c r="H173" s="6"/>
      <c r="I173" s="6"/>
      <c r="J173" s="6"/>
      <c r="K173" s="6"/>
      <c r="L173" s="6"/>
      <c r="M173" s="6"/>
      <c r="N173" s="6"/>
      <c r="O173" s="6"/>
      <c r="P173" s="6"/>
      <c r="Q173" s="6"/>
      <c r="R173" s="6"/>
      <c r="S173" s="6"/>
      <c r="T173" s="6"/>
      <c r="U173" s="6"/>
      <c r="V173" s="6"/>
      <c r="W173" s="6"/>
      <c r="X173" s="6"/>
      <c r="Y173" s="6"/>
      <c r="Z173" s="6"/>
      <c r="AA173" s="6"/>
      <c r="AB173" s="6"/>
      <c r="AC173" s="6"/>
      <c r="AD173" s="6"/>
      <c r="AE173" s="6"/>
      <c r="AF173" s="6"/>
      <c r="AG173" s="6"/>
      <c r="AH173" s="6"/>
      <c r="AI173" s="6"/>
      <c r="AJ173" s="6" t="str">
        <f t="shared" si="3"/>
        <v/>
      </c>
      <c r="AK173" s="6"/>
      <c r="AL173" s="6"/>
      <c r="AM173" s="6"/>
      <c r="AN173" s="6"/>
      <c r="AO173" s="6" t="s">
        <v>874</v>
      </c>
    </row>
    <row r="174" spans="1:41" ht="28.8" x14ac:dyDescent="0.3">
      <c r="A174" s="6" t="s">
        <v>626</v>
      </c>
      <c r="B174" s="6" t="s">
        <v>652</v>
      </c>
      <c r="C174" s="7" t="s">
        <v>875</v>
      </c>
      <c r="D174" s="6"/>
      <c r="E174" s="6"/>
      <c r="F174" s="6"/>
      <c r="G174" s="6"/>
      <c r="H174" s="6"/>
      <c r="I174" s="6"/>
      <c r="J174" s="6"/>
      <c r="K174" s="6"/>
      <c r="L174" s="6"/>
      <c r="M174" s="6"/>
      <c r="N174" s="6"/>
      <c r="O174" s="6"/>
      <c r="P174" s="6"/>
      <c r="Q174" s="6"/>
      <c r="R174" s="6"/>
      <c r="S174" s="6"/>
      <c r="T174" s="6"/>
      <c r="U174" s="6"/>
      <c r="V174" s="6"/>
      <c r="W174" s="6"/>
      <c r="X174" s="6"/>
      <c r="Y174" s="6"/>
      <c r="Z174" s="6"/>
      <c r="AA174" s="6"/>
      <c r="AB174" s="6"/>
      <c r="AC174" s="6"/>
      <c r="AD174" s="6"/>
      <c r="AE174" s="6"/>
      <c r="AF174" s="6"/>
      <c r="AG174" s="6"/>
      <c r="AH174" s="6"/>
      <c r="AI174" s="6"/>
      <c r="AJ174" s="6" t="str">
        <f t="shared" si="3"/>
        <v/>
      </c>
      <c r="AK174" s="6"/>
      <c r="AL174" s="6"/>
      <c r="AM174" s="6"/>
      <c r="AN174" s="6"/>
      <c r="AO174" s="6"/>
    </row>
    <row r="175" spans="1:41" x14ac:dyDescent="0.3">
      <c r="A175" s="6" t="s">
        <v>627</v>
      </c>
      <c r="B175" s="6" t="s">
        <v>653</v>
      </c>
      <c r="C175" s="6" t="s">
        <v>876</v>
      </c>
      <c r="D175" s="6"/>
      <c r="E175" s="6"/>
      <c r="F175" s="6"/>
      <c r="G175" s="6"/>
      <c r="H175" s="6"/>
      <c r="I175" s="6"/>
      <c r="J175" s="6"/>
      <c r="K175" s="6"/>
      <c r="L175" s="6"/>
      <c r="M175" s="6"/>
      <c r="N175" s="6"/>
      <c r="O175" s="6"/>
      <c r="P175" s="6"/>
      <c r="Q175" s="6"/>
      <c r="R175" s="6"/>
      <c r="S175" s="6"/>
      <c r="T175" s="6"/>
      <c r="U175" s="6"/>
      <c r="V175" s="6"/>
      <c r="W175" s="6"/>
      <c r="X175" s="6"/>
      <c r="Y175" s="6"/>
      <c r="Z175" s="6"/>
      <c r="AA175" s="6"/>
      <c r="AB175" s="6"/>
      <c r="AC175" s="6"/>
      <c r="AD175" s="6"/>
      <c r="AE175" s="6"/>
      <c r="AF175" s="6"/>
      <c r="AG175" s="6"/>
      <c r="AH175" s="6"/>
      <c r="AI175" s="6"/>
      <c r="AJ175" s="6" t="str">
        <f t="shared" si="3"/>
        <v/>
      </c>
      <c r="AK175" s="6"/>
      <c r="AL175" s="6"/>
      <c r="AM175" s="6"/>
      <c r="AN175" s="6"/>
      <c r="AO175" s="6"/>
    </row>
    <row r="176" spans="1:41" x14ac:dyDescent="0.3">
      <c r="A176" s="6" t="s">
        <v>628</v>
      </c>
      <c r="B176" s="6" t="s">
        <v>21</v>
      </c>
      <c r="C176" s="6" t="s">
        <v>877</v>
      </c>
      <c r="D176" s="6"/>
      <c r="E176" s="6"/>
      <c r="F176" s="6"/>
      <c r="G176" s="6"/>
      <c r="H176" s="6"/>
      <c r="I176" s="6"/>
      <c r="J176" s="6"/>
      <c r="K176" s="6"/>
      <c r="L176" s="6"/>
      <c r="M176" s="6"/>
      <c r="N176" s="6"/>
      <c r="O176" s="6"/>
      <c r="P176" s="6"/>
      <c r="Q176" s="6"/>
      <c r="R176" s="6"/>
      <c r="S176" s="6"/>
      <c r="T176" s="6"/>
      <c r="U176" s="6"/>
      <c r="V176" s="6"/>
      <c r="W176" s="6"/>
      <c r="X176" s="6"/>
      <c r="Y176" s="6"/>
      <c r="Z176" s="6"/>
      <c r="AA176" s="6"/>
      <c r="AB176" s="6"/>
      <c r="AC176" s="6"/>
      <c r="AD176" s="6"/>
      <c r="AE176" s="6"/>
      <c r="AF176" s="6"/>
      <c r="AG176" s="6"/>
      <c r="AH176" s="6"/>
      <c r="AI176" s="6"/>
      <c r="AJ176" s="6" t="str">
        <f t="shared" si="3"/>
        <v/>
      </c>
      <c r="AK176" s="6"/>
      <c r="AL176" s="6"/>
      <c r="AM176" s="6"/>
      <c r="AN176" s="6"/>
      <c r="AO176" s="6" t="s">
        <v>878</v>
      </c>
    </row>
    <row r="177" spans="1:41" x14ac:dyDescent="0.3">
      <c r="A177" s="6" t="s">
        <v>629</v>
      </c>
      <c r="B177" s="6" t="s">
        <v>652</v>
      </c>
      <c r="C177" s="6" t="s">
        <v>879</v>
      </c>
      <c r="D177" s="6"/>
      <c r="E177" s="6"/>
      <c r="F177" s="6"/>
      <c r="G177" s="6"/>
      <c r="H177" s="6"/>
      <c r="I177" s="6"/>
      <c r="J177" s="6"/>
      <c r="K177" s="6"/>
      <c r="L177" s="6"/>
      <c r="M177" s="6"/>
      <c r="N177" s="6"/>
      <c r="O177" s="6"/>
      <c r="P177" s="6"/>
      <c r="Q177" s="6"/>
      <c r="R177" s="6"/>
      <c r="S177" s="6"/>
      <c r="T177" s="6"/>
      <c r="U177" s="6"/>
      <c r="V177" s="6"/>
      <c r="W177" s="6"/>
      <c r="X177" s="6"/>
      <c r="Y177" s="6"/>
      <c r="Z177" s="6"/>
      <c r="AA177" s="6"/>
      <c r="AB177" s="6"/>
      <c r="AC177" s="6"/>
      <c r="AD177" s="6"/>
      <c r="AE177" s="6"/>
      <c r="AF177" s="6"/>
      <c r="AG177" s="6"/>
      <c r="AH177" s="6"/>
      <c r="AI177" s="6"/>
      <c r="AJ177" s="6" t="str">
        <f t="shared" si="3"/>
        <v/>
      </c>
      <c r="AK177" s="6"/>
      <c r="AL177" s="6"/>
      <c r="AM177" s="6"/>
      <c r="AN177" s="6"/>
      <c r="AO177" s="6" t="s">
        <v>880</v>
      </c>
    </row>
    <row r="178" spans="1:41" x14ac:dyDescent="0.3">
      <c r="A178" s="6" t="s">
        <v>630</v>
      </c>
      <c r="B178" s="6" t="s">
        <v>21</v>
      </c>
      <c r="C178" s="6" t="s">
        <v>881</v>
      </c>
      <c r="D178" s="6"/>
      <c r="E178" s="6"/>
      <c r="F178" s="6"/>
      <c r="G178" s="6"/>
      <c r="H178" s="6"/>
      <c r="I178" s="6"/>
      <c r="J178" s="6"/>
      <c r="K178" s="6"/>
      <c r="L178" s="6"/>
      <c r="M178" s="6"/>
      <c r="N178" s="6"/>
      <c r="O178" s="6"/>
      <c r="P178" s="6"/>
      <c r="Q178" s="6"/>
      <c r="R178" s="6"/>
      <c r="S178" s="6"/>
      <c r="T178" s="6"/>
      <c r="U178" s="6"/>
      <c r="V178" s="6"/>
      <c r="W178" s="6"/>
      <c r="X178" s="6"/>
      <c r="Y178" s="6"/>
      <c r="Z178" s="6"/>
      <c r="AA178" s="6"/>
      <c r="AB178" s="6"/>
      <c r="AC178" s="6"/>
      <c r="AD178" s="6"/>
      <c r="AE178" s="6"/>
      <c r="AF178" s="6"/>
      <c r="AG178" s="6"/>
      <c r="AH178" s="6"/>
      <c r="AI178" s="6"/>
      <c r="AJ178" s="6" t="str">
        <f t="shared" si="3"/>
        <v/>
      </c>
      <c r="AK178" s="6"/>
      <c r="AL178" s="6"/>
      <c r="AM178" s="6"/>
      <c r="AN178" s="6"/>
      <c r="AO178" s="6"/>
    </row>
    <row r="179" spans="1:41" x14ac:dyDescent="0.3">
      <c r="A179" s="6" t="s">
        <v>631</v>
      </c>
      <c r="B179" s="6" t="s">
        <v>653</v>
      </c>
      <c r="C179" s="6" t="s">
        <v>882</v>
      </c>
      <c r="D179" s="6"/>
      <c r="E179" s="6"/>
      <c r="F179" s="6"/>
      <c r="G179" s="6"/>
      <c r="H179" s="6"/>
      <c r="I179" s="6"/>
      <c r="J179" s="6"/>
      <c r="K179" s="6"/>
      <c r="L179" s="6"/>
      <c r="M179" s="6"/>
      <c r="N179" s="6"/>
      <c r="O179" s="6"/>
      <c r="P179" s="6"/>
      <c r="Q179" s="6"/>
      <c r="R179" s="6"/>
      <c r="S179" s="6"/>
      <c r="T179" s="6"/>
      <c r="U179" s="6"/>
      <c r="V179" s="6"/>
      <c r="W179" s="6"/>
      <c r="X179" s="6"/>
      <c r="Y179" s="6"/>
      <c r="Z179" s="6"/>
      <c r="AA179" s="6"/>
      <c r="AB179" s="6"/>
      <c r="AC179" s="6"/>
      <c r="AD179" s="6"/>
      <c r="AE179" s="6"/>
      <c r="AF179" s="6"/>
      <c r="AG179" s="6"/>
      <c r="AH179" s="6"/>
      <c r="AI179" s="6"/>
      <c r="AJ179" s="6" t="str">
        <f t="shared" si="3"/>
        <v/>
      </c>
      <c r="AK179" s="6"/>
      <c r="AL179" s="6"/>
      <c r="AM179" s="6"/>
      <c r="AN179" s="6"/>
      <c r="AO179" s="6"/>
    </row>
    <row r="180" spans="1:41" ht="28.8" x14ac:dyDescent="0.3">
      <c r="A180" s="6" t="s">
        <v>632</v>
      </c>
      <c r="B180" s="6" t="s">
        <v>652</v>
      </c>
      <c r="C180" s="7" t="s">
        <v>885</v>
      </c>
      <c r="D180" s="6"/>
      <c r="E180" s="6"/>
      <c r="F180" s="6"/>
      <c r="G180" s="6"/>
      <c r="H180" s="6"/>
      <c r="I180" s="6"/>
      <c r="J180" s="6"/>
      <c r="K180" s="6"/>
      <c r="L180" s="6"/>
      <c r="M180" s="6"/>
      <c r="N180" s="6"/>
      <c r="O180" s="6"/>
      <c r="P180" s="6"/>
      <c r="Q180" s="6"/>
      <c r="R180" s="6"/>
      <c r="S180" s="6"/>
      <c r="T180" s="6"/>
      <c r="U180" s="6"/>
      <c r="V180" s="6"/>
      <c r="W180" s="6"/>
      <c r="X180" s="6"/>
      <c r="Y180" s="6"/>
      <c r="Z180" s="6"/>
      <c r="AA180" s="6"/>
      <c r="AB180" s="6"/>
      <c r="AC180" s="6"/>
      <c r="AD180" s="6"/>
      <c r="AE180" s="6"/>
      <c r="AF180" s="6"/>
      <c r="AG180" s="6"/>
      <c r="AH180" s="6"/>
      <c r="AI180" s="6"/>
      <c r="AJ180" s="6" t="str">
        <f t="shared" si="3"/>
        <v/>
      </c>
      <c r="AK180" s="6"/>
      <c r="AL180" s="6"/>
      <c r="AM180" s="6"/>
      <c r="AN180" s="6"/>
      <c r="AO180" s="6"/>
    </row>
    <row r="181" spans="1:41" x14ac:dyDescent="0.3">
      <c r="A181" s="6" t="s">
        <v>633</v>
      </c>
      <c r="B181" s="6" t="s">
        <v>21</v>
      </c>
      <c r="C181" s="6" t="s">
        <v>883</v>
      </c>
      <c r="D181" s="6"/>
      <c r="E181" s="6"/>
      <c r="F181" s="6"/>
      <c r="G181" s="6"/>
      <c r="H181" s="6"/>
      <c r="I181" s="6"/>
      <c r="J181" s="6"/>
      <c r="K181" s="6"/>
      <c r="L181" s="6"/>
      <c r="M181" s="6"/>
      <c r="N181" s="6"/>
      <c r="O181" s="6"/>
      <c r="P181" s="6"/>
      <c r="Q181" s="6"/>
      <c r="R181" s="6"/>
      <c r="S181" s="6"/>
      <c r="T181" s="6"/>
      <c r="U181" s="6"/>
      <c r="V181" s="6"/>
      <c r="W181" s="6"/>
      <c r="X181" s="6"/>
      <c r="Y181" s="6"/>
      <c r="Z181" s="6"/>
      <c r="AA181" s="6"/>
      <c r="AB181" s="6"/>
      <c r="AC181" s="6"/>
      <c r="AD181" s="6"/>
      <c r="AE181" s="6"/>
      <c r="AF181" s="6"/>
      <c r="AG181" s="6"/>
      <c r="AH181" s="6"/>
      <c r="AI181" s="6"/>
      <c r="AJ181" s="6" t="str">
        <f t="shared" si="3"/>
        <v/>
      </c>
      <c r="AK181" s="6"/>
      <c r="AL181" s="6"/>
      <c r="AM181" s="6"/>
      <c r="AN181" s="6"/>
      <c r="AO181" s="6"/>
    </row>
    <row r="182" spans="1:41" x14ac:dyDescent="0.3">
      <c r="A182" s="6" t="s">
        <v>634</v>
      </c>
      <c r="B182" s="6" t="s">
        <v>21</v>
      </c>
      <c r="C182" s="6" t="s">
        <v>884</v>
      </c>
      <c r="D182" s="6"/>
      <c r="E182" s="6"/>
      <c r="F182" s="6"/>
      <c r="G182" s="6"/>
      <c r="H182" s="6"/>
      <c r="I182" s="6"/>
      <c r="J182" s="6"/>
      <c r="K182" s="6"/>
      <c r="L182" s="6"/>
      <c r="M182" s="6"/>
      <c r="N182" s="6"/>
      <c r="O182" s="6"/>
      <c r="P182" s="6"/>
      <c r="Q182" s="6"/>
      <c r="R182" s="6"/>
      <c r="S182" s="6"/>
      <c r="T182" s="6"/>
      <c r="U182" s="6"/>
      <c r="V182" s="6"/>
      <c r="W182" s="6"/>
      <c r="X182" s="6"/>
      <c r="Y182" s="6"/>
      <c r="Z182" s="6"/>
      <c r="AA182" s="6"/>
      <c r="AB182" s="6"/>
      <c r="AC182" s="6"/>
      <c r="AD182" s="6"/>
      <c r="AE182" s="6"/>
      <c r="AF182" s="6"/>
      <c r="AG182" s="6"/>
      <c r="AH182" s="6"/>
      <c r="AI182" s="6"/>
      <c r="AJ182" s="6" t="str">
        <f t="shared" si="3"/>
        <v/>
      </c>
      <c r="AK182" s="6"/>
      <c r="AL182" s="6"/>
      <c r="AM182" s="6"/>
      <c r="AN182" s="6"/>
      <c r="AO182" s="6"/>
    </row>
    <row r="183" spans="1:41" x14ac:dyDescent="0.3">
      <c r="A183" s="6" t="s">
        <v>635</v>
      </c>
      <c r="B183" s="6" t="s">
        <v>652</v>
      </c>
      <c r="C183" s="6" t="s">
        <v>886</v>
      </c>
      <c r="D183" s="6"/>
      <c r="E183" s="6"/>
      <c r="F183" s="6"/>
      <c r="G183" s="6"/>
      <c r="H183" s="6"/>
      <c r="I183" s="6"/>
      <c r="J183" s="6"/>
      <c r="K183" s="6"/>
      <c r="L183" s="6"/>
      <c r="M183" s="6"/>
      <c r="N183" s="6"/>
      <c r="O183" s="6"/>
      <c r="P183" s="6"/>
      <c r="Q183" s="6"/>
      <c r="R183" s="6"/>
      <c r="S183" s="6"/>
      <c r="T183" s="6"/>
      <c r="U183" s="6"/>
      <c r="V183" s="6"/>
      <c r="W183" s="6"/>
      <c r="X183" s="6"/>
      <c r="Y183" s="6"/>
      <c r="Z183" s="6"/>
      <c r="AA183" s="6"/>
      <c r="AB183" s="6"/>
      <c r="AC183" s="6"/>
      <c r="AD183" s="6"/>
      <c r="AE183" s="6"/>
      <c r="AF183" s="6"/>
      <c r="AG183" s="6"/>
      <c r="AH183" s="6"/>
      <c r="AI183" s="6"/>
      <c r="AJ183" s="6" t="str">
        <f t="shared" si="3"/>
        <v/>
      </c>
      <c r="AK183" s="6"/>
      <c r="AL183" s="6"/>
      <c r="AM183" s="6"/>
      <c r="AN183" s="6"/>
      <c r="AO183" s="6"/>
    </row>
    <row r="184" spans="1:41" ht="28.8" x14ac:dyDescent="0.3">
      <c r="A184" s="6" t="s">
        <v>636</v>
      </c>
      <c r="B184" s="6" t="s">
        <v>652</v>
      </c>
      <c r="C184" s="6" t="s">
        <v>641</v>
      </c>
      <c r="D184" s="6"/>
      <c r="E184" s="6"/>
      <c r="F184" s="6"/>
      <c r="G184" s="6"/>
      <c r="H184" s="6"/>
      <c r="I184" s="6"/>
      <c r="J184" s="6"/>
      <c r="K184" s="6"/>
      <c r="L184" s="6"/>
      <c r="M184" s="6"/>
      <c r="N184" s="6"/>
      <c r="O184" s="6"/>
      <c r="P184" s="6"/>
      <c r="Q184" s="6"/>
      <c r="R184" s="6"/>
      <c r="S184" s="6"/>
      <c r="T184" s="6"/>
      <c r="U184" s="6"/>
      <c r="V184" s="6"/>
      <c r="W184" s="6"/>
      <c r="X184" s="6"/>
      <c r="Y184" s="6"/>
      <c r="Z184" s="6"/>
      <c r="AA184" s="6"/>
      <c r="AB184" s="6"/>
      <c r="AC184" s="6"/>
      <c r="AD184" s="6"/>
      <c r="AE184" s="6"/>
      <c r="AF184" s="6"/>
      <c r="AG184" s="6"/>
      <c r="AH184" s="6"/>
      <c r="AI184" s="6"/>
      <c r="AJ184" s="6" t="str">
        <f t="shared" si="3"/>
        <v/>
      </c>
      <c r="AK184" s="6"/>
      <c r="AL184" s="6"/>
      <c r="AM184" s="6"/>
      <c r="AN184" s="6"/>
      <c r="AO184" s="7" t="s">
        <v>887</v>
      </c>
    </row>
    <row r="185" spans="1:41" x14ac:dyDescent="0.3">
      <c r="A185" s="6" t="s">
        <v>637</v>
      </c>
      <c r="B185" s="6" t="s">
        <v>662</v>
      </c>
      <c r="C185" s="6" t="s">
        <v>889</v>
      </c>
      <c r="D185" s="6"/>
      <c r="E185" s="6"/>
      <c r="F185" s="6"/>
      <c r="G185" s="6"/>
      <c r="H185" s="6"/>
      <c r="I185" s="6"/>
      <c r="J185" s="6"/>
      <c r="K185" s="6"/>
      <c r="L185" s="6"/>
      <c r="M185" s="6"/>
      <c r="N185" s="6"/>
      <c r="O185" s="6"/>
      <c r="P185" s="6"/>
      <c r="Q185" s="6"/>
      <c r="R185" s="6"/>
      <c r="S185" s="6"/>
      <c r="T185" s="6"/>
      <c r="U185" s="6"/>
      <c r="V185" s="6"/>
      <c r="W185" s="6"/>
      <c r="X185" s="6"/>
      <c r="Y185" s="6"/>
      <c r="Z185" s="6"/>
      <c r="AA185" s="6"/>
      <c r="AB185" s="6"/>
      <c r="AC185" s="6"/>
      <c r="AD185" s="6"/>
      <c r="AE185" s="6"/>
      <c r="AF185" s="6"/>
      <c r="AG185" s="6"/>
      <c r="AH185" s="6"/>
      <c r="AI185" s="6"/>
      <c r="AJ185" s="6" t="str">
        <f t="shared" si="3"/>
        <v/>
      </c>
      <c r="AK185" s="6"/>
      <c r="AL185" s="6"/>
      <c r="AM185" s="6"/>
      <c r="AN185" s="6"/>
      <c r="AO185" s="6"/>
    </row>
    <row r="186" spans="1:41" x14ac:dyDescent="0.3">
      <c r="A186" s="6" t="s">
        <v>638</v>
      </c>
      <c r="B186" s="6" t="s">
        <v>652</v>
      </c>
      <c r="C186" s="6" t="s">
        <v>890</v>
      </c>
      <c r="D186" s="6"/>
      <c r="E186" s="6"/>
      <c r="F186" s="6"/>
      <c r="G186" s="6"/>
      <c r="H186" s="6"/>
      <c r="I186" s="6"/>
      <c r="J186" s="6"/>
      <c r="K186" s="6"/>
      <c r="L186" s="6"/>
      <c r="M186" s="6"/>
      <c r="N186" s="6"/>
      <c r="O186" s="6"/>
      <c r="P186" s="6"/>
      <c r="Q186" s="6"/>
      <c r="R186" s="6"/>
      <c r="S186" s="6"/>
      <c r="T186" s="6"/>
      <c r="U186" s="6"/>
      <c r="V186" s="6"/>
      <c r="W186" s="6"/>
      <c r="X186" s="6"/>
      <c r="Y186" s="6"/>
      <c r="Z186" s="6"/>
      <c r="AA186" s="6"/>
      <c r="AB186" s="6"/>
      <c r="AC186" s="6"/>
      <c r="AD186" s="6"/>
      <c r="AE186" s="6"/>
      <c r="AF186" s="6"/>
      <c r="AG186" s="6"/>
      <c r="AH186" s="6"/>
      <c r="AI186" s="6"/>
      <c r="AJ186" s="6" t="str">
        <f t="shared" si="3"/>
        <v/>
      </c>
      <c r="AK186" s="6"/>
      <c r="AL186" s="6"/>
      <c r="AM186" s="6"/>
      <c r="AN186" s="6"/>
      <c r="AO186" s="6"/>
    </row>
    <row r="187" spans="1:41" ht="28.8" x14ac:dyDescent="0.3">
      <c r="A187" s="6" t="s">
        <v>639</v>
      </c>
      <c r="B187" s="6" t="s">
        <v>652</v>
      </c>
      <c r="C187" s="6" t="s">
        <v>481</v>
      </c>
      <c r="D187" s="6"/>
      <c r="E187" s="6"/>
      <c r="F187" s="6"/>
      <c r="G187" s="6"/>
      <c r="H187" s="6"/>
      <c r="I187" s="6"/>
      <c r="J187" s="6"/>
      <c r="K187" s="6"/>
      <c r="L187" s="6"/>
      <c r="M187" s="6"/>
      <c r="N187" s="6"/>
      <c r="O187" s="6"/>
      <c r="P187" s="6"/>
      <c r="Q187" s="6"/>
      <c r="R187" s="6"/>
      <c r="S187" s="6"/>
      <c r="T187" s="6"/>
      <c r="U187" s="6"/>
      <c r="V187" s="6"/>
      <c r="W187" s="6"/>
      <c r="X187" s="6"/>
      <c r="Y187" s="6"/>
      <c r="Z187" s="6"/>
      <c r="AA187" s="6"/>
      <c r="AB187" s="6"/>
      <c r="AC187" s="6"/>
      <c r="AD187" s="6"/>
      <c r="AE187" s="6"/>
      <c r="AF187" s="6"/>
      <c r="AG187" s="6"/>
      <c r="AH187" s="6"/>
      <c r="AI187" s="6"/>
      <c r="AJ187" s="6" t="str">
        <f t="shared" si="3"/>
        <v/>
      </c>
      <c r="AK187" s="6"/>
      <c r="AL187" s="6"/>
      <c r="AM187" s="6"/>
      <c r="AN187" s="6"/>
      <c r="AO187" s="7" t="s">
        <v>891</v>
      </c>
    </row>
    <row r="188" spans="1:41" ht="28.8" x14ac:dyDescent="0.3">
      <c r="A188" s="6" t="s">
        <v>640</v>
      </c>
      <c r="B188" s="6" t="s">
        <v>664</v>
      </c>
      <c r="C188" s="6" t="s">
        <v>892</v>
      </c>
      <c r="D188" s="6"/>
      <c r="E188" s="6"/>
      <c r="F188" s="6"/>
      <c r="G188" s="6"/>
      <c r="H188" s="6"/>
      <c r="I188" s="6"/>
      <c r="J188" s="6"/>
      <c r="K188" s="6"/>
      <c r="L188" s="6"/>
      <c r="M188" s="6"/>
      <c r="N188" s="6"/>
      <c r="O188" s="6"/>
      <c r="P188" s="6"/>
      <c r="Q188" s="6"/>
      <c r="R188" s="6"/>
      <c r="S188" s="6"/>
      <c r="T188" s="6"/>
      <c r="U188" s="6"/>
      <c r="V188" s="6"/>
      <c r="W188" s="6"/>
      <c r="X188" s="6"/>
      <c r="Y188" s="6"/>
      <c r="Z188" s="6"/>
      <c r="AA188" s="6"/>
      <c r="AB188" s="6"/>
      <c r="AC188" s="6"/>
      <c r="AD188" s="6"/>
      <c r="AE188" s="6"/>
      <c r="AF188" s="6"/>
      <c r="AG188" s="6"/>
      <c r="AH188" s="6"/>
      <c r="AI188" s="6"/>
      <c r="AJ188" s="6" t="str">
        <f t="shared" si="3"/>
        <v/>
      </c>
      <c r="AK188" s="6"/>
      <c r="AL188" s="6"/>
      <c r="AM188" s="6"/>
      <c r="AN188" s="6"/>
      <c r="AO188" s="7" t="s">
        <v>665</v>
      </c>
    </row>
    <row r="189" spans="1:41" x14ac:dyDescent="0.3">
      <c r="A189" s="6" t="s">
        <v>641</v>
      </c>
      <c r="B189" s="6" t="s">
        <v>652</v>
      </c>
      <c r="C189" s="6" t="s">
        <v>888</v>
      </c>
      <c r="D189" s="6"/>
      <c r="E189" s="6"/>
      <c r="F189" s="6"/>
      <c r="G189" s="6"/>
      <c r="H189" s="6"/>
      <c r="I189" s="6"/>
      <c r="J189" s="6"/>
      <c r="K189" s="6"/>
      <c r="L189" s="6"/>
      <c r="M189" s="6"/>
      <c r="N189" s="6"/>
      <c r="O189" s="6"/>
      <c r="P189" s="6"/>
      <c r="Q189" s="6"/>
      <c r="R189" s="6"/>
      <c r="S189" s="6"/>
      <c r="T189" s="6"/>
      <c r="U189" s="6"/>
      <c r="V189" s="6"/>
      <c r="W189" s="6"/>
      <c r="X189" s="6"/>
      <c r="Y189" s="6"/>
      <c r="Z189" s="6"/>
      <c r="AA189" s="6"/>
      <c r="AB189" s="6"/>
      <c r="AC189" s="6"/>
      <c r="AD189" s="6"/>
      <c r="AE189" s="6"/>
      <c r="AF189" s="6"/>
      <c r="AG189" s="6"/>
      <c r="AH189" s="6"/>
      <c r="AI189" s="6"/>
      <c r="AJ189" s="6" t="str">
        <f t="shared" si="3"/>
        <v/>
      </c>
      <c r="AK189" s="6"/>
      <c r="AL189" s="6"/>
      <c r="AM189" s="6"/>
      <c r="AN189" s="6"/>
      <c r="AO189" s="6" t="s">
        <v>893</v>
      </c>
    </row>
    <row r="190" spans="1:41" x14ac:dyDescent="0.3">
      <c r="A190" s="6" t="s">
        <v>642</v>
      </c>
      <c r="B190" s="6" t="s">
        <v>662</v>
      </c>
      <c r="C190" s="6" t="s">
        <v>894</v>
      </c>
      <c r="D190" s="6"/>
      <c r="E190" s="6"/>
      <c r="F190" s="6"/>
      <c r="G190" s="6"/>
      <c r="H190" s="6"/>
      <c r="I190" s="6"/>
      <c r="J190" s="6"/>
      <c r="K190" s="6"/>
      <c r="L190" s="6"/>
      <c r="M190" s="6"/>
      <c r="N190" s="6"/>
      <c r="O190" s="6"/>
      <c r="P190" s="6"/>
      <c r="Q190" s="6"/>
      <c r="R190" s="6"/>
      <c r="S190" s="6"/>
      <c r="T190" s="6"/>
      <c r="U190" s="6"/>
      <c r="V190" s="6"/>
      <c r="W190" s="6"/>
      <c r="X190" s="6"/>
      <c r="Y190" s="6"/>
      <c r="Z190" s="6"/>
      <c r="AA190" s="6"/>
      <c r="AB190" s="6"/>
      <c r="AC190" s="6"/>
      <c r="AD190" s="6"/>
      <c r="AE190" s="6"/>
      <c r="AF190" s="6"/>
      <c r="AG190" s="6"/>
      <c r="AH190" s="6"/>
      <c r="AI190" s="6"/>
      <c r="AJ190" s="6" t="str">
        <f t="shared" si="3"/>
        <v/>
      </c>
      <c r="AK190" s="6"/>
      <c r="AL190" s="6"/>
      <c r="AM190" s="6"/>
      <c r="AN190" s="6"/>
      <c r="AO190" s="6"/>
    </row>
    <row r="191" spans="1:41" x14ac:dyDescent="0.3">
      <c r="A191" s="6" t="s">
        <v>643</v>
      </c>
      <c r="B191" s="6" t="s">
        <v>662</v>
      </c>
      <c r="C191" s="6" t="s">
        <v>86</v>
      </c>
      <c r="D191" s="6"/>
      <c r="E191" s="6"/>
      <c r="F191" s="6"/>
      <c r="G191" s="6"/>
      <c r="H191" s="6"/>
      <c r="I191" s="6"/>
      <c r="J191" s="6"/>
      <c r="K191" s="6"/>
      <c r="L191" s="6"/>
      <c r="M191" s="6"/>
      <c r="N191" s="6"/>
      <c r="O191" s="6"/>
      <c r="P191" s="6"/>
      <c r="Q191" s="6"/>
      <c r="R191" s="6"/>
      <c r="S191" s="6"/>
      <c r="T191" s="6"/>
      <c r="U191" s="6"/>
      <c r="V191" s="6"/>
      <c r="W191" s="6"/>
      <c r="X191" s="6"/>
      <c r="Y191" s="6"/>
      <c r="Z191" s="6"/>
      <c r="AA191" s="6"/>
      <c r="AB191" s="6"/>
      <c r="AC191" s="6"/>
      <c r="AD191" s="6"/>
      <c r="AE191" s="6"/>
      <c r="AF191" s="6"/>
      <c r="AG191" s="6"/>
      <c r="AH191" s="6"/>
      <c r="AI191" s="6"/>
      <c r="AJ191" s="6" t="str">
        <f t="shared" si="3"/>
        <v/>
      </c>
      <c r="AK191" s="6"/>
      <c r="AL191" s="6"/>
      <c r="AM191" s="6"/>
      <c r="AN191" s="6"/>
      <c r="AO191" s="6"/>
    </row>
    <row r="192" spans="1:41" x14ac:dyDescent="0.3">
      <c r="A192" s="6" t="s">
        <v>644</v>
      </c>
      <c r="B192" s="6" t="s">
        <v>21</v>
      </c>
      <c r="C192" s="6" t="s">
        <v>895</v>
      </c>
      <c r="D192" s="6"/>
      <c r="E192" s="6"/>
      <c r="F192" s="6"/>
      <c r="G192" s="6"/>
      <c r="H192" s="6"/>
      <c r="I192" s="6"/>
      <c r="J192" s="6"/>
      <c r="K192" s="6"/>
      <c r="L192" s="6"/>
      <c r="M192" s="6"/>
      <c r="N192" s="6"/>
      <c r="O192" s="6"/>
      <c r="P192" s="6"/>
      <c r="Q192" s="6"/>
      <c r="R192" s="6"/>
      <c r="S192" s="6"/>
      <c r="T192" s="6"/>
      <c r="U192" s="6"/>
      <c r="V192" s="6"/>
      <c r="W192" s="6"/>
      <c r="X192" s="6"/>
      <c r="Y192" s="6"/>
      <c r="Z192" s="6"/>
      <c r="AA192" s="6"/>
      <c r="AB192" s="6"/>
      <c r="AC192" s="6"/>
      <c r="AD192" s="6"/>
      <c r="AE192" s="6"/>
      <c r="AF192" s="6"/>
      <c r="AG192" s="6"/>
      <c r="AH192" s="6"/>
      <c r="AI192" s="6"/>
      <c r="AJ192" s="6" t="str">
        <f t="shared" ref="AJ192:AJ209" si="4">IF(AI192="", "", ((AH192-AI192)/AI192)*100)</f>
        <v/>
      </c>
      <c r="AK192" s="6"/>
      <c r="AL192" s="6"/>
      <c r="AM192" s="6"/>
      <c r="AN192" s="6"/>
      <c r="AO192" s="6"/>
    </row>
    <row r="193" spans="1:41" x14ac:dyDescent="0.3">
      <c r="A193" s="6" t="s">
        <v>645</v>
      </c>
      <c r="B193" s="6" t="s">
        <v>662</v>
      </c>
      <c r="C193" s="6" t="s">
        <v>92</v>
      </c>
      <c r="D193" s="6"/>
      <c r="E193" s="6"/>
      <c r="F193" s="6"/>
      <c r="G193" s="6"/>
      <c r="H193" s="6"/>
      <c r="I193" s="6"/>
      <c r="J193" s="6"/>
      <c r="K193" s="6"/>
      <c r="L193" s="6"/>
      <c r="M193" s="6"/>
      <c r="N193" s="6"/>
      <c r="O193" s="6"/>
      <c r="P193" s="6"/>
      <c r="Q193" s="6"/>
      <c r="R193" s="6"/>
      <c r="S193" s="6"/>
      <c r="T193" s="6"/>
      <c r="U193" s="6"/>
      <c r="V193" s="6"/>
      <c r="W193" s="6"/>
      <c r="X193" s="6"/>
      <c r="Y193" s="6"/>
      <c r="Z193" s="6"/>
      <c r="AA193" s="6"/>
      <c r="AB193" s="6"/>
      <c r="AC193" s="6"/>
      <c r="AD193" s="6"/>
      <c r="AE193" s="6"/>
      <c r="AF193" s="6"/>
      <c r="AG193" s="6"/>
      <c r="AH193" s="6"/>
      <c r="AI193" s="6"/>
      <c r="AJ193" s="6" t="str">
        <f t="shared" si="4"/>
        <v/>
      </c>
      <c r="AK193" s="6"/>
      <c r="AL193" s="6"/>
      <c r="AM193" s="6"/>
      <c r="AN193" s="6"/>
      <c r="AO193" s="6"/>
    </row>
    <row r="194" spans="1:41" x14ac:dyDescent="0.3">
      <c r="A194" s="6" t="s">
        <v>646</v>
      </c>
      <c r="B194" s="6" t="s">
        <v>21</v>
      </c>
      <c r="C194" s="6" t="s">
        <v>897</v>
      </c>
      <c r="D194" s="6"/>
      <c r="E194" s="6"/>
      <c r="F194" s="6"/>
      <c r="G194" s="6"/>
      <c r="H194" s="6"/>
      <c r="I194" s="6"/>
      <c r="J194" s="6"/>
      <c r="K194" s="6"/>
      <c r="L194" s="6"/>
      <c r="M194" s="6"/>
      <c r="N194" s="6"/>
      <c r="O194" s="6"/>
      <c r="P194" s="6"/>
      <c r="Q194" s="6"/>
      <c r="R194" s="6"/>
      <c r="S194" s="6"/>
      <c r="T194" s="6"/>
      <c r="U194" s="6"/>
      <c r="V194" s="6"/>
      <c r="W194" s="6"/>
      <c r="X194" s="6"/>
      <c r="Y194" s="6"/>
      <c r="Z194" s="6"/>
      <c r="AA194" s="6"/>
      <c r="AB194" s="6"/>
      <c r="AC194" s="6"/>
      <c r="AD194" s="6"/>
      <c r="AE194" s="6"/>
      <c r="AF194" s="6"/>
      <c r="AG194" s="6"/>
      <c r="AH194" s="6"/>
      <c r="AI194" s="6"/>
      <c r="AJ194" s="6" t="str">
        <f t="shared" si="4"/>
        <v/>
      </c>
      <c r="AK194" s="6"/>
      <c r="AL194" s="6"/>
      <c r="AM194" s="6"/>
      <c r="AN194" s="6"/>
      <c r="AO194" s="6"/>
    </row>
    <row r="195" spans="1:41" x14ac:dyDescent="0.3">
      <c r="A195" s="6" t="s">
        <v>647</v>
      </c>
      <c r="B195" s="6" t="s">
        <v>21</v>
      </c>
      <c r="C195" s="6" t="s">
        <v>896</v>
      </c>
      <c r="D195" s="6"/>
      <c r="E195" s="6"/>
      <c r="F195" s="6"/>
      <c r="G195" s="6"/>
      <c r="H195" s="6"/>
      <c r="I195" s="6"/>
      <c r="J195" s="6"/>
      <c r="K195" s="6"/>
      <c r="L195" s="6"/>
      <c r="M195" s="6"/>
      <c r="N195" s="6"/>
      <c r="O195" s="6"/>
      <c r="P195" s="6"/>
      <c r="Q195" s="6"/>
      <c r="R195" s="6"/>
      <c r="S195" s="6"/>
      <c r="T195" s="6"/>
      <c r="U195" s="6"/>
      <c r="V195" s="6"/>
      <c r="W195" s="6"/>
      <c r="X195" s="6"/>
      <c r="Y195" s="6"/>
      <c r="Z195" s="6"/>
      <c r="AA195" s="6"/>
      <c r="AB195" s="6"/>
      <c r="AC195" s="6"/>
      <c r="AD195" s="6"/>
      <c r="AE195" s="6"/>
      <c r="AF195" s="6"/>
      <c r="AG195" s="6"/>
      <c r="AH195" s="6"/>
      <c r="AI195" s="6"/>
      <c r="AJ195" s="6" t="str">
        <f t="shared" si="4"/>
        <v/>
      </c>
      <c r="AK195" s="6"/>
      <c r="AL195" s="6"/>
      <c r="AM195" s="6"/>
      <c r="AN195" s="6"/>
      <c r="AO195" s="6"/>
    </row>
    <row r="196" spans="1:41" x14ac:dyDescent="0.3">
      <c r="A196" s="6" t="s">
        <v>648</v>
      </c>
      <c r="B196" s="6" t="s">
        <v>21</v>
      </c>
      <c r="C196" s="6" t="s">
        <v>610</v>
      </c>
      <c r="D196" s="6"/>
      <c r="E196" s="6"/>
      <c r="F196" s="6"/>
      <c r="G196" s="6"/>
      <c r="H196" s="6"/>
      <c r="I196" s="6"/>
      <c r="J196" s="6"/>
      <c r="K196" s="6"/>
      <c r="L196" s="6"/>
      <c r="M196" s="6"/>
      <c r="N196" s="6"/>
      <c r="O196" s="6"/>
      <c r="P196" s="6"/>
      <c r="Q196" s="6"/>
      <c r="R196" s="6"/>
      <c r="S196" s="6"/>
      <c r="T196" s="6"/>
      <c r="U196" s="6"/>
      <c r="V196" s="6"/>
      <c r="W196" s="6"/>
      <c r="X196" s="6"/>
      <c r="Y196" s="6"/>
      <c r="Z196" s="6"/>
      <c r="AA196" s="6"/>
      <c r="AB196" s="6"/>
      <c r="AC196" s="6"/>
      <c r="AD196" s="6"/>
      <c r="AE196" s="6"/>
      <c r="AF196" s="6"/>
      <c r="AG196" s="6"/>
      <c r="AH196" s="6"/>
      <c r="AI196" s="6"/>
      <c r="AJ196" s="6" t="str">
        <f t="shared" si="4"/>
        <v/>
      </c>
      <c r="AK196" s="6"/>
      <c r="AL196" s="6"/>
      <c r="AM196" s="6"/>
      <c r="AN196" s="6"/>
      <c r="AO196" s="6"/>
    </row>
    <row r="197" spans="1:41" x14ac:dyDescent="0.3">
      <c r="A197" s="6" t="s">
        <v>649</v>
      </c>
      <c r="B197" s="6" t="s">
        <v>662</v>
      </c>
      <c r="C197" s="6" t="s">
        <v>92</v>
      </c>
      <c r="D197" s="6"/>
      <c r="E197" s="6"/>
      <c r="F197" s="6"/>
      <c r="G197" s="6"/>
      <c r="H197" s="6"/>
      <c r="I197" s="6"/>
      <c r="J197" s="6"/>
      <c r="K197" s="6"/>
      <c r="L197" s="6"/>
      <c r="M197" s="6"/>
      <c r="N197" s="6"/>
      <c r="O197" s="6"/>
      <c r="P197" s="6"/>
      <c r="Q197" s="6"/>
      <c r="R197" s="6"/>
      <c r="S197" s="6"/>
      <c r="T197" s="6"/>
      <c r="U197" s="6"/>
      <c r="V197" s="6"/>
      <c r="W197" s="6"/>
      <c r="X197" s="6"/>
      <c r="Y197" s="6"/>
      <c r="Z197" s="6"/>
      <c r="AA197" s="6"/>
      <c r="AB197" s="6"/>
      <c r="AC197" s="6"/>
      <c r="AD197" s="6"/>
      <c r="AE197" s="6"/>
      <c r="AF197" s="6"/>
      <c r="AG197" s="6"/>
      <c r="AH197" s="6"/>
      <c r="AI197" s="6"/>
      <c r="AJ197" s="6" t="str">
        <f t="shared" si="4"/>
        <v/>
      </c>
      <c r="AK197" s="6"/>
      <c r="AL197" s="6"/>
      <c r="AM197" s="6"/>
      <c r="AN197" s="6"/>
      <c r="AO197" s="6"/>
    </row>
    <row r="198" spans="1:41" x14ac:dyDescent="0.3">
      <c r="AJ198" s="2" t="str">
        <f t="shared" si="4"/>
        <v/>
      </c>
    </row>
    <row r="199" spans="1:41" x14ac:dyDescent="0.3">
      <c r="AJ199" s="2" t="str">
        <f t="shared" si="4"/>
        <v/>
      </c>
    </row>
    <row r="200" spans="1:41" x14ac:dyDescent="0.3">
      <c r="AJ200" s="2" t="str">
        <f t="shared" si="4"/>
        <v/>
      </c>
    </row>
    <row r="201" spans="1:41" x14ac:dyDescent="0.3">
      <c r="AJ201" s="2" t="str">
        <f t="shared" si="4"/>
        <v/>
      </c>
    </row>
    <row r="202" spans="1:41" x14ac:dyDescent="0.3">
      <c r="AJ202" s="2" t="str">
        <f t="shared" si="4"/>
        <v/>
      </c>
    </row>
    <row r="203" spans="1:41" x14ac:dyDescent="0.3">
      <c r="AJ203" s="2" t="str">
        <f t="shared" si="4"/>
        <v/>
      </c>
    </row>
    <row r="204" spans="1:41" x14ac:dyDescent="0.3">
      <c r="AJ204" s="2" t="str">
        <f t="shared" si="4"/>
        <v/>
      </c>
    </row>
    <row r="205" spans="1:41" x14ac:dyDescent="0.3">
      <c r="AJ205" s="2" t="str">
        <f t="shared" si="4"/>
        <v/>
      </c>
    </row>
    <row r="206" spans="1:41" x14ac:dyDescent="0.3">
      <c r="AJ206" s="2" t="str">
        <f t="shared" si="4"/>
        <v/>
      </c>
    </row>
    <row r="207" spans="1:41" x14ac:dyDescent="0.3">
      <c r="AJ207" s="2" t="str">
        <f t="shared" si="4"/>
        <v/>
      </c>
    </row>
    <row r="208" spans="1:41" x14ac:dyDescent="0.3">
      <c r="AJ208" s="2" t="str">
        <f t="shared" si="4"/>
        <v/>
      </c>
    </row>
    <row r="209" spans="36:36" x14ac:dyDescent="0.3">
      <c r="AJ209" s="2" t="str">
        <f t="shared" si="4"/>
        <v/>
      </c>
    </row>
  </sheetData>
  <phoneticPr fontId="3" type="noConversion"/>
  <conditionalFormatting sqref="C24">
    <cfRule type="expression" dxfId="0" priority="1">
      <formula xml:space="preserve"> $B1 = $B$2</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9FE7D6-DE5C-408D-9EA4-7BCA58952881}">
  <dimension ref="A1:Z197"/>
  <sheetViews>
    <sheetView tabSelected="1" topLeftCell="C1" workbookViewId="0">
      <selection activeCell="C6" sqref="C6"/>
    </sheetView>
  </sheetViews>
  <sheetFormatPr defaultColWidth="30.21875" defaultRowHeight="14.4" x14ac:dyDescent="0.3"/>
  <cols>
    <col min="1" max="1" width="24.77734375" bestFit="1" customWidth="1"/>
    <col min="2" max="2" width="16.6640625" style="13" bestFit="1" customWidth="1"/>
    <col min="3" max="3" width="22.44140625" style="13" bestFit="1" customWidth="1"/>
    <col min="4" max="4" width="22.6640625" style="13" bestFit="1" customWidth="1"/>
    <col min="5" max="6" width="20.77734375" style="13" bestFit="1" customWidth="1"/>
    <col min="7" max="7" width="22" style="13" bestFit="1" customWidth="1"/>
    <col min="8" max="8" width="12.5546875" style="13" bestFit="1" customWidth="1"/>
    <col min="9" max="9" width="17.88671875" style="13" bestFit="1" customWidth="1"/>
    <col min="10" max="10" width="23.5546875" style="13" bestFit="1" customWidth="1"/>
    <col min="11" max="11" width="28" style="13" bestFit="1" customWidth="1"/>
    <col min="12" max="12" width="30.33203125" style="13" bestFit="1" customWidth="1"/>
    <col min="13" max="13" width="30.6640625" style="13" bestFit="1" customWidth="1"/>
    <col min="14" max="14" width="25.33203125" style="13" bestFit="1" customWidth="1"/>
    <col min="15" max="15" width="30.21875" style="13" bestFit="1" customWidth="1"/>
    <col min="16" max="16" width="32.44140625" style="13" bestFit="1" customWidth="1"/>
    <col min="17" max="17" width="31.21875" style="13" bestFit="1" customWidth="1"/>
    <col min="18" max="18" width="20.77734375" style="13" bestFit="1" customWidth="1"/>
    <col min="19" max="25" width="17.33203125" style="13" customWidth="1"/>
    <col min="26" max="26" width="20.77734375" style="13" bestFit="1" customWidth="1"/>
  </cols>
  <sheetData>
    <row r="1" spans="1:26" s="11" customFormat="1" ht="28.8" x14ac:dyDescent="0.3">
      <c r="A1" s="5" t="s">
        <v>1</v>
      </c>
      <c r="B1" s="5" t="s">
        <v>994</v>
      </c>
      <c r="C1" s="5" t="s">
        <v>995</v>
      </c>
      <c r="D1" s="5" t="s">
        <v>998</v>
      </c>
      <c r="E1" s="5" t="s">
        <v>996</v>
      </c>
      <c r="F1" s="5" t="s">
        <v>997</v>
      </c>
      <c r="G1" s="5" t="s">
        <v>1001</v>
      </c>
      <c r="H1" s="5" t="s">
        <v>999</v>
      </c>
      <c r="I1" s="5" t="s">
        <v>1000</v>
      </c>
      <c r="J1" s="10" t="s">
        <v>1010</v>
      </c>
      <c r="K1" s="5" t="s">
        <v>1002</v>
      </c>
      <c r="L1" s="5" t="s">
        <v>1003</v>
      </c>
      <c r="M1" s="5" t="s">
        <v>1004</v>
      </c>
      <c r="N1" s="10" t="s">
        <v>1009</v>
      </c>
      <c r="O1" s="5" t="s">
        <v>1005</v>
      </c>
      <c r="P1" s="5" t="s">
        <v>1006</v>
      </c>
      <c r="Q1" s="5" t="s">
        <v>1007</v>
      </c>
      <c r="R1" s="10" t="s">
        <v>1008</v>
      </c>
      <c r="S1" s="10" t="s">
        <v>1026</v>
      </c>
      <c r="T1" s="10" t="s">
        <v>1022</v>
      </c>
      <c r="U1" s="10" t="s">
        <v>1020</v>
      </c>
      <c r="V1" s="10" t="s">
        <v>1024</v>
      </c>
      <c r="W1" s="10" t="s">
        <v>1023</v>
      </c>
      <c r="X1" s="10" t="s">
        <v>1021</v>
      </c>
      <c r="Y1" s="10" t="s">
        <v>1025</v>
      </c>
      <c r="Z1" s="10" t="s">
        <v>1011</v>
      </c>
    </row>
    <row r="2" spans="1:26" x14ac:dyDescent="0.3">
      <c r="A2" s="6" t="s">
        <v>3</v>
      </c>
      <c r="B2" s="12">
        <v>1479537695</v>
      </c>
      <c r="C2" s="12">
        <v>555299296</v>
      </c>
      <c r="D2" s="12">
        <f>IF(B2="", "", (C2/B2)*100)</f>
        <v>37.531946490893567</v>
      </c>
      <c r="E2" s="12">
        <v>761119796</v>
      </c>
      <c r="F2" s="12">
        <v>715505781</v>
      </c>
      <c r="G2" s="12">
        <f>B2-(E2+F2)</f>
        <v>2912118</v>
      </c>
      <c r="H2" s="12">
        <f>IF(F2="", "", E2/F2)</f>
        <v>1.0637507288008901</v>
      </c>
      <c r="I2" s="12">
        <f>1/0.94</f>
        <v>1.0638297872340425</v>
      </c>
      <c r="J2" s="12">
        <v>458656685</v>
      </c>
      <c r="K2" s="12">
        <v>239328000</v>
      </c>
      <c r="L2" s="12">
        <v>219328685</v>
      </c>
      <c r="M2" s="12">
        <f>IF(J2="", "", (L2/J2)*100)</f>
        <v>47.819794668423945</v>
      </c>
      <c r="N2" s="12">
        <v>329936905</v>
      </c>
      <c r="O2" s="12">
        <v>171897127</v>
      </c>
      <c r="P2" s="12">
        <v>158039778</v>
      </c>
      <c r="Q2" s="12">
        <f>IF(N2="", "", (P2/N2)*100)</f>
        <v>47.900000153059565</v>
      </c>
      <c r="R2" s="12">
        <v>668741200</v>
      </c>
      <c r="S2" s="12">
        <v>52.8</v>
      </c>
      <c r="T2" s="12">
        <v>369145259</v>
      </c>
      <c r="U2" s="12">
        <v>402000000</v>
      </c>
      <c r="V2" s="12">
        <f>(U2/T2)*100</f>
        <v>108.90022022468939</v>
      </c>
      <c r="W2" s="12">
        <v>346360522</v>
      </c>
      <c r="X2" s="12">
        <v>164000000</v>
      </c>
      <c r="Y2" s="12">
        <f>(X2/W2)*100</f>
        <v>47.349507112707265</v>
      </c>
      <c r="Z2" s="12">
        <v>173200000</v>
      </c>
    </row>
    <row r="3" spans="1:26" x14ac:dyDescent="0.3">
      <c r="A3" s="6" t="s">
        <v>5</v>
      </c>
      <c r="B3" s="12">
        <v>1412155898</v>
      </c>
      <c r="C3" s="12">
        <f>(949000000+953175600+970433085)/3</f>
        <v>957536228.33333337</v>
      </c>
      <c r="D3" s="12">
        <f t="shared" ref="D3:D66" si="0">IF(B3="", "", (C3/B3)*100)</f>
        <v>67.806693983962191</v>
      </c>
      <c r="E3" s="12">
        <f>(717000000+718810000)/2</f>
        <v>717905000</v>
      </c>
      <c r="F3" s="12">
        <v>694105287</v>
      </c>
      <c r="G3" s="12">
        <f>B3-(E3+F3)</f>
        <v>145611</v>
      </c>
      <c r="H3" s="12">
        <f t="shared" ref="H3:H66" si="1">IF(F3="", "", E3/F3)</f>
        <v>1.034288332686335</v>
      </c>
      <c r="I3" s="12">
        <v>1.036</v>
      </c>
      <c r="J3" s="12">
        <f>(278900000+298000000)/2</f>
        <v>288450000</v>
      </c>
      <c r="K3" s="12">
        <f>(149400000+158000000)/2</f>
        <v>153700000</v>
      </c>
      <c r="L3" s="12">
        <v>129500000</v>
      </c>
      <c r="M3" s="12">
        <f t="shared" ref="M3:M66" si="2">IF(J3="", "", (L3/J3)*100)</f>
        <v>44.895129138498874</v>
      </c>
      <c r="N3" s="12">
        <v>202300000</v>
      </c>
      <c r="O3" s="12">
        <v>106170000</v>
      </c>
      <c r="P3" s="12">
        <v>91830000</v>
      </c>
      <c r="Q3" s="12">
        <f t="shared" ref="Q3:Q66" si="3">IF(N3="", "", (P3/N3)*100)</f>
        <v>45.392980721700447</v>
      </c>
      <c r="R3" s="12">
        <v>737307267</v>
      </c>
      <c r="S3" s="12">
        <v>61.57</v>
      </c>
      <c r="T3" s="12">
        <v>381839779</v>
      </c>
      <c r="U3" s="12">
        <v>407175000</v>
      </c>
      <c r="V3" s="12">
        <f t="shared" ref="V3:V5" si="4">(U3/T3)*100</f>
        <v>106.6350397191069</v>
      </c>
      <c r="W3" s="12">
        <v>352467488</v>
      </c>
      <c r="X3" s="12">
        <v>320000000</v>
      </c>
      <c r="Y3" s="12">
        <f t="shared" ref="Y3:Y5" si="5">(X3/W3)*100</f>
        <v>90.788515506996205</v>
      </c>
      <c r="Z3" s="12">
        <v>323380000</v>
      </c>
    </row>
    <row r="4" spans="1:26" x14ac:dyDescent="0.3">
      <c r="A4" s="6" t="s">
        <v>430</v>
      </c>
      <c r="B4" s="12">
        <v>349529545</v>
      </c>
      <c r="C4" s="12">
        <f>(284043692+265149027)/2</f>
        <v>274596359.5</v>
      </c>
      <c r="D4" s="12">
        <f t="shared" si="0"/>
        <v>78.561701987166771</v>
      </c>
      <c r="E4" s="12">
        <v>175400000</v>
      </c>
      <c r="F4" s="12">
        <v>173636381</v>
      </c>
      <c r="G4" s="12">
        <f>B4-(E4+F4)</f>
        <v>493164</v>
      </c>
      <c r="H4" s="12">
        <f t="shared" si="1"/>
        <v>1.0101569670471304</v>
      </c>
      <c r="I4" s="12">
        <v>1.0101500000000001</v>
      </c>
      <c r="J4" s="12">
        <v>72021348</v>
      </c>
      <c r="K4" s="12">
        <v>36893704</v>
      </c>
      <c r="L4" s="12">
        <v>35127644</v>
      </c>
      <c r="M4" s="12">
        <f t="shared" si="2"/>
        <v>48.773932973317855</v>
      </c>
      <c r="N4" s="12">
        <v>53850000</v>
      </c>
      <c r="O4" s="12">
        <v>27517350</v>
      </c>
      <c r="P4" s="12">
        <v>26332650</v>
      </c>
      <c r="Q4" s="12">
        <f t="shared" si="3"/>
        <v>48.9</v>
      </c>
      <c r="R4" s="12">
        <v>158821224</v>
      </c>
      <c r="S4" s="12">
        <v>59.1</v>
      </c>
      <c r="T4" s="12">
        <v>80821114</v>
      </c>
      <c r="U4" s="12">
        <v>85734000</v>
      </c>
      <c r="V4" s="12">
        <f t="shared" si="4"/>
        <v>106.07871601472854</v>
      </c>
      <c r="W4" s="12">
        <v>78000110</v>
      </c>
      <c r="X4" s="12">
        <v>82585000</v>
      </c>
      <c r="Y4" s="12">
        <f t="shared" si="5"/>
        <v>105.87805581299821</v>
      </c>
      <c r="Z4" s="12">
        <v>79547743</v>
      </c>
    </row>
    <row r="5" spans="1:26" x14ac:dyDescent="0.3">
      <c r="A5" s="6" t="s">
        <v>13</v>
      </c>
      <c r="B5" s="12">
        <v>288436855</v>
      </c>
      <c r="C5" s="12">
        <v>173513303</v>
      </c>
      <c r="D5" s="12">
        <f t="shared" si="0"/>
        <v>60.156425918594906</v>
      </c>
      <c r="E5" s="12">
        <v>144610243</v>
      </c>
      <c r="F5" s="12">
        <v>143276540</v>
      </c>
      <c r="G5" s="12">
        <f>B5-(E5+F5)</f>
        <v>550072</v>
      </c>
      <c r="H5" s="12">
        <f t="shared" si="1"/>
        <v>1.0093085930187873</v>
      </c>
      <c r="I5" s="12">
        <v>1.0093000000000001</v>
      </c>
      <c r="J5" s="12">
        <v>83670410</v>
      </c>
      <c r="K5" s="12">
        <v>42912414</v>
      </c>
      <c r="L5" s="12">
        <v>40757996</v>
      </c>
      <c r="M5" s="12">
        <f t="shared" si="2"/>
        <v>48.71255680472941</v>
      </c>
      <c r="N5" s="12">
        <v>53421860</v>
      </c>
      <c r="O5" s="12">
        <v>27330770</v>
      </c>
      <c r="P5" s="12">
        <v>26091090</v>
      </c>
      <c r="Q5" s="12">
        <f t="shared" si="3"/>
        <v>48.839725909955213</v>
      </c>
      <c r="R5" s="12">
        <v>142574415</v>
      </c>
      <c r="S5" s="12">
        <v>66</v>
      </c>
      <c r="T5" s="12">
        <v>72551320</v>
      </c>
      <c r="U5" s="12">
        <v>88975410</v>
      </c>
      <c r="V5" s="12">
        <f t="shared" si="4"/>
        <v>122.63789273579033</v>
      </c>
      <c r="W5" s="12">
        <v>70023095</v>
      </c>
      <c r="X5" s="12">
        <v>58694590</v>
      </c>
      <c r="Y5" s="12">
        <f t="shared" si="5"/>
        <v>83.821759092482267</v>
      </c>
      <c r="Z5" s="12">
        <v>34525892</v>
      </c>
    </row>
    <row r="6" spans="1:26" x14ac:dyDescent="0.3">
      <c r="A6" s="6" t="s">
        <v>72</v>
      </c>
      <c r="B6" s="12">
        <v>260010725</v>
      </c>
      <c r="C6" s="12">
        <f>(100877063+89987063+93750000)/3</f>
        <v>94871375.333333328</v>
      </c>
      <c r="D6" s="12">
        <f t="shared" si="0"/>
        <v>36.48748540404759</v>
      </c>
      <c r="E6" s="12">
        <f>(131270000+127842594+124320000)/3</f>
        <v>127810864.66666667</v>
      </c>
      <c r="F6" s="12">
        <f>(128031202+123761990+117150000)/3</f>
        <v>122981064</v>
      </c>
      <c r="G6" s="12">
        <f>B6-(E6+F6)</f>
        <v>9218796.3333333135</v>
      </c>
      <c r="H6" s="12">
        <f t="shared" si="1"/>
        <v>1.0392727181695767</v>
      </c>
      <c r="I6" s="12">
        <v>1.0253000000000001</v>
      </c>
      <c r="J6" s="12">
        <f>(109510765+117000000+112000000)/3</f>
        <v>112836921.66666667</v>
      </c>
      <c r="K6" s="12">
        <v>58099978</v>
      </c>
      <c r="L6" s="12">
        <v>54370121</v>
      </c>
      <c r="M6" s="12">
        <f t="shared" si="2"/>
        <v>48.184690079206192</v>
      </c>
      <c r="N6" s="12"/>
      <c r="O6" s="12"/>
      <c r="P6" s="12"/>
      <c r="Q6" s="12" t="str">
        <f t="shared" si="3"/>
        <v/>
      </c>
      <c r="R6" s="12"/>
      <c r="S6" s="12"/>
      <c r="T6" s="12"/>
      <c r="U6" s="12"/>
      <c r="V6" s="12"/>
      <c r="W6" s="12"/>
      <c r="X6" s="12"/>
      <c r="Y6" s="12"/>
      <c r="Z6" s="12"/>
    </row>
    <row r="7" spans="1:26" x14ac:dyDescent="0.3">
      <c r="A7" s="6" t="s">
        <v>16</v>
      </c>
      <c r="B7" s="12"/>
      <c r="C7" s="12"/>
      <c r="D7" s="12" t="str">
        <f t="shared" si="0"/>
        <v/>
      </c>
      <c r="E7" s="12"/>
      <c r="F7" s="12"/>
      <c r="G7" s="12"/>
      <c r="H7" s="12" t="str">
        <f t="shared" si="1"/>
        <v/>
      </c>
      <c r="I7" s="12"/>
      <c r="J7" s="12"/>
      <c r="K7" s="12"/>
      <c r="L7" s="12"/>
      <c r="M7" s="12" t="str">
        <f t="shared" si="2"/>
        <v/>
      </c>
      <c r="N7" s="12"/>
      <c r="O7" s="12"/>
      <c r="P7" s="12"/>
      <c r="Q7" s="12" t="str">
        <f t="shared" si="3"/>
        <v/>
      </c>
      <c r="R7" s="12"/>
      <c r="S7" s="12"/>
      <c r="T7" s="12"/>
      <c r="U7" s="12"/>
      <c r="V7" s="12"/>
      <c r="W7" s="12"/>
      <c r="X7" s="12"/>
      <c r="Y7" s="12"/>
      <c r="Z7" s="12"/>
    </row>
    <row r="8" spans="1:26" x14ac:dyDescent="0.3">
      <c r="A8" s="6" t="s">
        <v>19</v>
      </c>
      <c r="B8" s="12"/>
      <c r="C8" s="12"/>
      <c r="D8" s="12" t="str">
        <f t="shared" si="0"/>
        <v/>
      </c>
      <c r="E8" s="12"/>
      <c r="F8" s="12"/>
      <c r="G8" s="12"/>
      <c r="H8" s="12" t="str">
        <f t="shared" si="1"/>
        <v/>
      </c>
      <c r="I8" s="12"/>
      <c r="J8" s="12"/>
      <c r="K8" s="12"/>
      <c r="L8" s="12"/>
      <c r="M8" s="12" t="str">
        <f t="shared" si="2"/>
        <v/>
      </c>
      <c r="N8" s="12"/>
      <c r="O8" s="12"/>
      <c r="P8" s="12"/>
      <c r="Q8" s="12" t="str">
        <f t="shared" si="3"/>
        <v/>
      </c>
      <c r="R8" s="12"/>
      <c r="S8" s="12"/>
      <c r="T8" s="12"/>
      <c r="U8" s="12"/>
      <c r="V8" s="12"/>
      <c r="W8" s="12"/>
      <c r="X8" s="12"/>
      <c r="Y8" s="12"/>
      <c r="Z8" s="12"/>
    </row>
    <row r="9" spans="1:26" x14ac:dyDescent="0.3">
      <c r="A9" s="6" t="s">
        <v>24</v>
      </c>
      <c r="B9" s="12"/>
      <c r="C9" s="12"/>
      <c r="D9" s="12" t="str">
        <f t="shared" si="0"/>
        <v/>
      </c>
      <c r="E9" s="12"/>
      <c r="F9" s="12"/>
      <c r="G9" s="12"/>
      <c r="H9" s="12" t="str">
        <f t="shared" si="1"/>
        <v/>
      </c>
      <c r="I9" s="12"/>
      <c r="J9" s="12"/>
      <c r="K9" s="12"/>
      <c r="L9" s="12"/>
      <c r="M9" s="12" t="str">
        <f t="shared" si="2"/>
        <v/>
      </c>
      <c r="N9" s="12"/>
      <c r="O9" s="12"/>
      <c r="P9" s="12"/>
      <c r="Q9" s="12" t="str">
        <f t="shared" si="3"/>
        <v/>
      </c>
      <c r="R9" s="12"/>
      <c r="S9" s="12"/>
      <c r="T9" s="12"/>
      <c r="U9" s="12"/>
      <c r="V9" s="12"/>
      <c r="W9" s="12"/>
      <c r="X9" s="12"/>
      <c r="Y9" s="12"/>
      <c r="Z9" s="12"/>
    </row>
    <row r="10" spans="1:26" x14ac:dyDescent="0.3">
      <c r="A10" s="6" t="s">
        <v>27</v>
      </c>
      <c r="B10" s="12"/>
      <c r="C10" s="12"/>
      <c r="D10" s="12" t="str">
        <f t="shared" si="0"/>
        <v/>
      </c>
      <c r="E10" s="12"/>
      <c r="F10" s="12"/>
      <c r="G10" s="12"/>
      <c r="H10" s="12" t="str">
        <f t="shared" si="1"/>
        <v/>
      </c>
      <c r="I10" s="12"/>
      <c r="J10" s="12"/>
      <c r="K10" s="12"/>
      <c r="L10" s="12"/>
      <c r="M10" s="12" t="str">
        <f t="shared" si="2"/>
        <v/>
      </c>
      <c r="N10" s="12"/>
      <c r="O10" s="12"/>
      <c r="P10" s="12"/>
      <c r="Q10" s="12" t="str">
        <f t="shared" si="3"/>
        <v/>
      </c>
      <c r="R10" s="12"/>
      <c r="S10" s="12"/>
      <c r="T10" s="12"/>
      <c r="U10" s="12"/>
      <c r="V10" s="12"/>
      <c r="W10" s="12"/>
      <c r="X10" s="12"/>
      <c r="Y10" s="12"/>
      <c r="Z10" s="12"/>
    </row>
    <row r="11" spans="1:26" x14ac:dyDescent="0.3">
      <c r="A11" s="6" t="s">
        <v>32</v>
      </c>
      <c r="B11" s="12"/>
      <c r="C11" s="12"/>
      <c r="D11" s="12" t="str">
        <f t="shared" si="0"/>
        <v/>
      </c>
      <c r="E11" s="12"/>
      <c r="F11" s="12"/>
      <c r="G11" s="12"/>
      <c r="H11" s="12" t="str">
        <f t="shared" si="1"/>
        <v/>
      </c>
      <c r="I11" s="12"/>
      <c r="J11" s="12"/>
      <c r="K11" s="12"/>
      <c r="L11" s="12"/>
      <c r="M11" s="12" t="str">
        <f t="shared" si="2"/>
        <v/>
      </c>
      <c r="N11" s="12"/>
      <c r="O11" s="12"/>
      <c r="P11" s="12"/>
      <c r="Q11" s="12" t="str">
        <f t="shared" si="3"/>
        <v/>
      </c>
      <c r="R11" s="12"/>
      <c r="S11" s="12"/>
      <c r="T11" s="12"/>
      <c r="U11" s="12"/>
      <c r="V11" s="12"/>
      <c r="W11" s="12"/>
      <c r="X11" s="12"/>
      <c r="Y11" s="12"/>
      <c r="Z11" s="12"/>
    </row>
    <row r="12" spans="1:26" x14ac:dyDescent="0.3">
      <c r="A12" s="6" t="s">
        <v>35</v>
      </c>
      <c r="B12" s="12"/>
      <c r="C12" s="12"/>
      <c r="D12" s="12" t="str">
        <f t="shared" si="0"/>
        <v/>
      </c>
      <c r="E12" s="12"/>
      <c r="F12" s="12"/>
      <c r="G12" s="12"/>
      <c r="H12" s="12" t="str">
        <f t="shared" si="1"/>
        <v/>
      </c>
      <c r="I12" s="12"/>
      <c r="J12" s="12"/>
      <c r="K12" s="12"/>
      <c r="L12" s="12"/>
      <c r="M12" s="12" t="str">
        <f t="shared" si="2"/>
        <v/>
      </c>
      <c r="N12" s="12"/>
      <c r="O12" s="12"/>
      <c r="P12" s="12"/>
      <c r="Q12" s="12" t="str">
        <f t="shared" si="3"/>
        <v/>
      </c>
      <c r="R12" s="12"/>
      <c r="S12" s="12"/>
      <c r="T12" s="12"/>
      <c r="U12" s="12"/>
      <c r="V12" s="12"/>
      <c r="W12" s="12"/>
      <c r="X12" s="12"/>
      <c r="Y12" s="12"/>
      <c r="Z12" s="12"/>
    </row>
    <row r="13" spans="1:26" x14ac:dyDescent="0.3">
      <c r="A13" s="6" t="s">
        <v>40</v>
      </c>
      <c r="B13" s="12"/>
      <c r="C13" s="12"/>
      <c r="D13" s="12" t="str">
        <f t="shared" si="0"/>
        <v/>
      </c>
      <c r="E13" s="12"/>
      <c r="F13" s="12"/>
      <c r="G13" s="12"/>
      <c r="H13" s="12" t="str">
        <f t="shared" si="1"/>
        <v/>
      </c>
      <c r="I13" s="12"/>
      <c r="J13" s="12"/>
      <c r="K13" s="12"/>
      <c r="L13" s="12"/>
      <c r="M13" s="12" t="str">
        <f t="shared" si="2"/>
        <v/>
      </c>
      <c r="N13" s="12"/>
      <c r="O13" s="12"/>
      <c r="P13" s="12"/>
      <c r="Q13" s="12" t="str">
        <f t="shared" si="3"/>
        <v/>
      </c>
      <c r="R13" s="12"/>
      <c r="S13" s="12"/>
      <c r="T13" s="12"/>
      <c r="U13" s="12"/>
      <c r="V13" s="12"/>
      <c r="W13" s="12"/>
      <c r="X13" s="12"/>
      <c r="Y13" s="12"/>
      <c r="Z13" s="12"/>
    </row>
    <row r="14" spans="1:26" x14ac:dyDescent="0.3">
      <c r="A14" s="6" t="s">
        <v>43</v>
      </c>
      <c r="B14" s="12"/>
      <c r="C14" s="12"/>
      <c r="D14" s="12" t="str">
        <f t="shared" si="0"/>
        <v/>
      </c>
      <c r="E14" s="12"/>
      <c r="F14" s="12"/>
      <c r="G14" s="12"/>
      <c r="H14" s="12" t="str">
        <f t="shared" si="1"/>
        <v/>
      </c>
      <c r="I14" s="12"/>
      <c r="J14" s="12"/>
      <c r="K14" s="12"/>
      <c r="L14" s="12"/>
      <c r="M14" s="12" t="str">
        <f t="shared" si="2"/>
        <v/>
      </c>
      <c r="N14" s="12"/>
      <c r="O14" s="12"/>
      <c r="P14" s="12"/>
      <c r="Q14" s="12" t="str">
        <f t="shared" si="3"/>
        <v/>
      </c>
      <c r="R14" s="12"/>
      <c r="S14" s="12"/>
      <c r="T14" s="12"/>
      <c r="U14" s="12"/>
      <c r="V14" s="12"/>
      <c r="W14" s="12"/>
      <c r="X14" s="12"/>
      <c r="Y14" s="12"/>
      <c r="Z14" s="12"/>
    </row>
    <row r="15" spans="1:26" x14ac:dyDescent="0.3">
      <c r="A15" s="6" t="s">
        <v>439</v>
      </c>
      <c r="B15" s="12"/>
      <c r="C15" s="12"/>
      <c r="D15" s="12" t="str">
        <f t="shared" si="0"/>
        <v/>
      </c>
      <c r="E15" s="12"/>
      <c r="F15" s="12"/>
      <c r="G15" s="12"/>
      <c r="H15" s="12" t="str">
        <f t="shared" si="1"/>
        <v/>
      </c>
      <c r="I15" s="12"/>
      <c r="J15" s="12"/>
      <c r="K15" s="12"/>
      <c r="L15" s="12"/>
      <c r="M15" s="12" t="str">
        <f t="shared" si="2"/>
        <v/>
      </c>
      <c r="N15" s="12"/>
      <c r="O15" s="12"/>
      <c r="P15" s="12"/>
      <c r="Q15" s="12" t="str">
        <f t="shared" si="3"/>
        <v/>
      </c>
      <c r="R15" s="12"/>
      <c r="S15" s="12"/>
      <c r="T15" s="12"/>
      <c r="U15" s="12"/>
      <c r="V15" s="12"/>
      <c r="W15" s="12"/>
      <c r="X15" s="12"/>
      <c r="Y15" s="12"/>
      <c r="Z15" s="12"/>
    </row>
    <row r="16" spans="1:26" x14ac:dyDescent="0.3">
      <c r="A16" s="6" t="s">
        <v>51</v>
      </c>
      <c r="B16" s="12"/>
      <c r="C16" s="12"/>
      <c r="D16" s="12" t="str">
        <f t="shared" si="0"/>
        <v/>
      </c>
      <c r="E16" s="12"/>
      <c r="F16" s="12"/>
      <c r="G16" s="12"/>
      <c r="H16" s="12" t="str">
        <f t="shared" si="1"/>
        <v/>
      </c>
      <c r="I16" s="12"/>
      <c r="J16" s="12"/>
      <c r="K16" s="12"/>
      <c r="L16" s="12"/>
      <c r="M16" s="12" t="str">
        <f t="shared" si="2"/>
        <v/>
      </c>
      <c r="N16" s="12"/>
      <c r="O16" s="12"/>
      <c r="P16" s="12"/>
      <c r="Q16" s="12" t="str">
        <f t="shared" si="3"/>
        <v/>
      </c>
      <c r="R16" s="12"/>
      <c r="S16" s="12"/>
      <c r="T16" s="12"/>
      <c r="U16" s="12"/>
      <c r="V16" s="12"/>
      <c r="W16" s="12"/>
      <c r="X16" s="12"/>
      <c r="Y16" s="12"/>
      <c r="Z16" s="12"/>
    </row>
    <row r="17" spans="1:26" x14ac:dyDescent="0.3">
      <c r="A17" s="6" t="s">
        <v>56</v>
      </c>
      <c r="B17" s="12"/>
      <c r="C17" s="12"/>
      <c r="D17" s="12" t="str">
        <f t="shared" si="0"/>
        <v/>
      </c>
      <c r="E17" s="12"/>
      <c r="F17" s="12"/>
      <c r="G17" s="12"/>
      <c r="H17" s="12" t="str">
        <f t="shared" si="1"/>
        <v/>
      </c>
      <c r="I17" s="12"/>
      <c r="J17" s="12"/>
      <c r="K17" s="12"/>
      <c r="L17" s="12"/>
      <c r="M17" s="12" t="str">
        <f t="shared" si="2"/>
        <v/>
      </c>
      <c r="N17" s="12"/>
      <c r="O17" s="12"/>
      <c r="P17" s="12"/>
      <c r="Q17" s="12" t="str">
        <f t="shared" si="3"/>
        <v/>
      </c>
      <c r="R17" s="12"/>
      <c r="S17" s="12"/>
      <c r="T17" s="12"/>
      <c r="U17" s="12"/>
      <c r="V17" s="12"/>
      <c r="W17" s="12"/>
      <c r="X17" s="12"/>
      <c r="Y17" s="12"/>
      <c r="Z17" s="12"/>
    </row>
    <row r="18" spans="1:26" x14ac:dyDescent="0.3">
      <c r="A18" s="6" t="s">
        <v>59</v>
      </c>
      <c r="B18" s="12"/>
      <c r="C18" s="12"/>
      <c r="D18" s="12" t="str">
        <f t="shared" si="0"/>
        <v/>
      </c>
      <c r="E18" s="12"/>
      <c r="F18" s="12"/>
      <c r="G18" s="12"/>
      <c r="H18" s="12" t="str">
        <f t="shared" si="1"/>
        <v/>
      </c>
      <c r="I18" s="12"/>
      <c r="J18" s="12"/>
      <c r="K18" s="12"/>
      <c r="L18" s="12"/>
      <c r="M18" s="12" t="str">
        <f t="shared" si="2"/>
        <v/>
      </c>
      <c r="N18" s="12"/>
      <c r="O18" s="12"/>
      <c r="P18" s="12"/>
      <c r="Q18" s="12" t="str">
        <f t="shared" si="3"/>
        <v/>
      </c>
      <c r="R18" s="12"/>
      <c r="S18" s="12"/>
      <c r="T18" s="12"/>
      <c r="U18" s="12"/>
      <c r="V18" s="12"/>
      <c r="W18" s="12"/>
      <c r="X18" s="12"/>
      <c r="Y18" s="12"/>
      <c r="Z18" s="12"/>
    </row>
    <row r="19" spans="1:26" x14ac:dyDescent="0.3">
      <c r="A19" s="6" t="s">
        <v>64</v>
      </c>
      <c r="B19" s="12"/>
      <c r="C19" s="12"/>
      <c r="D19" s="12" t="str">
        <f t="shared" si="0"/>
        <v/>
      </c>
      <c r="E19" s="12"/>
      <c r="F19" s="12"/>
      <c r="G19" s="12"/>
      <c r="H19" s="12" t="str">
        <f t="shared" si="1"/>
        <v/>
      </c>
      <c r="I19" s="12"/>
      <c r="J19" s="12"/>
      <c r="K19" s="12"/>
      <c r="L19" s="12"/>
      <c r="M19" s="12" t="str">
        <f t="shared" si="2"/>
        <v/>
      </c>
      <c r="N19" s="12"/>
      <c r="O19" s="12"/>
      <c r="P19" s="12"/>
      <c r="Q19" s="12" t="str">
        <f t="shared" si="3"/>
        <v/>
      </c>
      <c r="R19" s="12"/>
      <c r="S19" s="12"/>
      <c r="T19" s="12"/>
      <c r="U19" s="12"/>
      <c r="V19" s="12"/>
      <c r="W19" s="12"/>
      <c r="X19" s="12"/>
      <c r="Y19" s="12"/>
      <c r="Z19" s="12"/>
    </row>
    <row r="20" spans="1:26" x14ac:dyDescent="0.3">
      <c r="A20" s="6" t="s">
        <v>67</v>
      </c>
      <c r="B20" s="12"/>
      <c r="C20" s="12"/>
      <c r="D20" s="12" t="str">
        <f t="shared" si="0"/>
        <v/>
      </c>
      <c r="E20" s="12"/>
      <c r="F20" s="12"/>
      <c r="G20" s="12"/>
      <c r="H20" s="12" t="str">
        <f t="shared" si="1"/>
        <v/>
      </c>
      <c r="I20" s="12"/>
      <c r="J20" s="12"/>
      <c r="K20" s="12"/>
      <c r="L20" s="12"/>
      <c r="M20" s="12" t="str">
        <f t="shared" si="2"/>
        <v/>
      </c>
      <c r="N20" s="12"/>
      <c r="O20" s="12"/>
      <c r="P20" s="12"/>
      <c r="Q20" s="12" t="str">
        <f t="shared" si="3"/>
        <v/>
      </c>
      <c r="R20" s="12"/>
      <c r="S20" s="12"/>
      <c r="T20" s="12"/>
      <c r="U20" s="12"/>
      <c r="V20" s="12"/>
      <c r="W20" s="12"/>
      <c r="X20" s="12"/>
      <c r="Y20" s="12"/>
      <c r="Z20" s="12"/>
    </row>
    <row r="21" spans="1:26" x14ac:dyDescent="0.3">
      <c r="A21" s="6" t="s">
        <v>75</v>
      </c>
      <c r="B21" s="12"/>
      <c r="C21" s="12"/>
      <c r="D21" s="12" t="str">
        <f t="shared" si="0"/>
        <v/>
      </c>
      <c r="E21" s="12"/>
      <c r="F21" s="12"/>
      <c r="G21" s="12"/>
      <c r="H21" s="12" t="str">
        <f t="shared" si="1"/>
        <v/>
      </c>
      <c r="I21" s="12"/>
      <c r="J21" s="12"/>
      <c r="K21" s="12"/>
      <c r="L21" s="12"/>
      <c r="M21" s="12" t="str">
        <f t="shared" si="2"/>
        <v/>
      </c>
      <c r="N21" s="12"/>
      <c r="O21" s="12"/>
      <c r="P21" s="12"/>
      <c r="Q21" s="12" t="str">
        <f t="shared" si="3"/>
        <v/>
      </c>
      <c r="R21" s="12"/>
      <c r="S21" s="12"/>
      <c r="T21" s="12"/>
      <c r="U21" s="12"/>
      <c r="V21" s="12"/>
      <c r="W21" s="12"/>
      <c r="X21" s="12"/>
      <c r="Y21" s="12"/>
      <c r="Z21" s="12"/>
    </row>
    <row r="22" spans="1:26" x14ac:dyDescent="0.3">
      <c r="A22" s="6" t="s">
        <v>80</v>
      </c>
      <c r="B22" s="12"/>
      <c r="C22" s="12"/>
      <c r="D22" s="12" t="str">
        <f t="shared" si="0"/>
        <v/>
      </c>
      <c r="E22" s="12"/>
      <c r="F22" s="12"/>
      <c r="G22" s="12"/>
      <c r="H22" s="12" t="str">
        <f t="shared" si="1"/>
        <v/>
      </c>
      <c r="I22" s="12"/>
      <c r="J22" s="12"/>
      <c r="K22" s="12"/>
      <c r="L22" s="12"/>
      <c r="M22" s="12" t="str">
        <f t="shared" si="2"/>
        <v/>
      </c>
      <c r="N22" s="12"/>
      <c r="O22" s="12"/>
      <c r="P22" s="12"/>
      <c r="Q22" s="12" t="str">
        <f t="shared" si="3"/>
        <v/>
      </c>
      <c r="R22" s="12"/>
      <c r="S22" s="12"/>
      <c r="T22" s="12"/>
      <c r="U22" s="12"/>
      <c r="V22" s="12"/>
      <c r="W22" s="12"/>
      <c r="X22" s="12"/>
      <c r="Y22" s="12"/>
      <c r="Z22" s="12"/>
    </row>
    <row r="23" spans="1:26" x14ac:dyDescent="0.3">
      <c r="A23" s="6" t="s">
        <v>440</v>
      </c>
      <c r="B23" s="12"/>
      <c r="C23" s="12"/>
      <c r="D23" s="12" t="str">
        <f t="shared" si="0"/>
        <v/>
      </c>
      <c r="E23" s="12"/>
      <c r="F23" s="12"/>
      <c r="G23" s="12"/>
      <c r="H23" s="12" t="str">
        <f t="shared" si="1"/>
        <v/>
      </c>
      <c r="I23" s="12"/>
      <c r="J23" s="12"/>
      <c r="K23" s="12"/>
      <c r="L23" s="12"/>
      <c r="M23" s="12" t="str">
        <f t="shared" si="2"/>
        <v/>
      </c>
      <c r="N23" s="12"/>
      <c r="O23" s="12"/>
      <c r="P23" s="12"/>
      <c r="Q23" s="12" t="str">
        <f t="shared" si="3"/>
        <v/>
      </c>
      <c r="R23" s="12"/>
      <c r="S23" s="12"/>
      <c r="T23" s="12"/>
      <c r="U23" s="12"/>
      <c r="V23" s="12"/>
      <c r="W23" s="12"/>
      <c r="X23" s="12"/>
      <c r="Y23" s="12"/>
      <c r="Z23" s="12"/>
    </row>
    <row r="24" spans="1:26" x14ac:dyDescent="0.3">
      <c r="A24" s="6" t="s">
        <v>86</v>
      </c>
      <c r="B24" s="12"/>
      <c r="C24" s="12"/>
      <c r="D24" s="12" t="str">
        <f t="shared" si="0"/>
        <v/>
      </c>
      <c r="E24" s="12"/>
      <c r="F24" s="12"/>
      <c r="G24" s="12"/>
      <c r="H24" s="12" t="str">
        <f t="shared" si="1"/>
        <v/>
      </c>
      <c r="I24" s="12"/>
      <c r="J24" s="12"/>
      <c r="K24" s="12"/>
      <c r="L24" s="12"/>
      <c r="M24" s="12" t="str">
        <f t="shared" si="2"/>
        <v/>
      </c>
      <c r="N24" s="12"/>
      <c r="O24" s="12"/>
      <c r="P24" s="12"/>
      <c r="Q24" s="12" t="str">
        <f t="shared" si="3"/>
        <v/>
      </c>
      <c r="R24" s="12"/>
      <c r="S24" s="12"/>
      <c r="T24" s="12"/>
      <c r="U24" s="12"/>
      <c r="V24" s="12"/>
      <c r="W24" s="12"/>
      <c r="X24" s="12"/>
      <c r="Y24" s="12"/>
      <c r="Z24" s="12"/>
    </row>
    <row r="25" spans="1:26" x14ac:dyDescent="0.3">
      <c r="A25" s="6" t="s">
        <v>89</v>
      </c>
      <c r="B25" s="12"/>
      <c r="C25" s="12"/>
      <c r="D25" s="12" t="str">
        <f t="shared" si="0"/>
        <v/>
      </c>
      <c r="E25" s="12"/>
      <c r="F25" s="12"/>
      <c r="G25" s="12"/>
      <c r="H25" s="12" t="str">
        <f t="shared" si="1"/>
        <v/>
      </c>
      <c r="I25" s="12"/>
      <c r="J25" s="12"/>
      <c r="K25" s="12"/>
      <c r="L25" s="12"/>
      <c r="M25" s="12" t="str">
        <f t="shared" si="2"/>
        <v/>
      </c>
      <c r="N25" s="12"/>
      <c r="O25" s="12"/>
      <c r="P25" s="12"/>
      <c r="Q25" s="12" t="str">
        <f t="shared" si="3"/>
        <v/>
      </c>
      <c r="R25" s="12"/>
      <c r="S25" s="12"/>
      <c r="T25" s="12"/>
      <c r="U25" s="12"/>
      <c r="V25" s="12"/>
      <c r="W25" s="12"/>
      <c r="X25" s="12"/>
      <c r="Y25" s="12"/>
      <c r="Z25" s="12"/>
    </row>
    <row r="26" spans="1:26" x14ac:dyDescent="0.3">
      <c r="A26" s="6" t="s">
        <v>92</v>
      </c>
      <c r="B26" s="12"/>
      <c r="C26" s="12"/>
      <c r="D26" s="12" t="str">
        <f t="shared" si="0"/>
        <v/>
      </c>
      <c r="E26" s="12"/>
      <c r="F26" s="12"/>
      <c r="G26" s="12"/>
      <c r="H26" s="12" t="str">
        <f t="shared" si="1"/>
        <v/>
      </c>
      <c r="I26" s="12"/>
      <c r="J26" s="12"/>
      <c r="K26" s="12"/>
      <c r="L26" s="12"/>
      <c r="M26" s="12" t="str">
        <f t="shared" si="2"/>
        <v/>
      </c>
      <c r="N26" s="12"/>
      <c r="O26" s="12"/>
      <c r="P26" s="12"/>
      <c r="Q26" s="12" t="str">
        <f t="shared" si="3"/>
        <v/>
      </c>
      <c r="R26" s="12"/>
      <c r="S26" s="12"/>
      <c r="T26" s="12"/>
      <c r="U26" s="12"/>
      <c r="V26" s="12"/>
      <c r="W26" s="12"/>
      <c r="X26" s="12"/>
      <c r="Y26" s="12"/>
      <c r="Z26" s="12"/>
    </row>
    <row r="27" spans="1:26" x14ac:dyDescent="0.3">
      <c r="A27" s="6" t="s">
        <v>95</v>
      </c>
      <c r="B27" s="12"/>
      <c r="C27" s="12"/>
      <c r="D27" s="12" t="str">
        <f t="shared" si="0"/>
        <v/>
      </c>
      <c r="E27" s="12"/>
      <c r="F27" s="12"/>
      <c r="G27" s="12"/>
      <c r="H27" s="12" t="str">
        <f t="shared" si="1"/>
        <v/>
      </c>
      <c r="I27" s="12"/>
      <c r="J27" s="12"/>
      <c r="K27" s="12"/>
      <c r="L27" s="12"/>
      <c r="M27" s="12" t="str">
        <f t="shared" si="2"/>
        <v/>
      </c>
      <c r="N27" s="12"/>
      <c r="O27" s="12"/>
      <c r="P27" s="12"/>
      <c r="Q27" s="12" t="str">
        <f t="shared" si="3"/>
        <v/>
      </c>
      <c r="R27" s="12"/>
      <c r="S27" s="12"/>
      <c r="T27" s="12"/>
      <c r="U27" s="12"/>
      <c r="V27" s="12"/>
      <c r="W27" s="12"/>
      <c r="X27" s="12"/>
      <c r="Y27" s="12"/>
      <c r="Z27" s="12"/>
    </row>
    <row r="28" spans="1:26" x14ac:dyDescent="0.3">
      <c r="A28" s="6" t="s">
        <v>98</v>
      </c>
      <c r="B28" s="12"/>
      <c r="C28" s="12"/>
      <c r="D28" s="12" t="str">
        <f t="shared" si="0"/>
        <v/>
      </c>
      <c r="E28" s="12"/>
      <c r="F28" s="12"/>
      <c r="G28" s="12"/>
      <c r="H28" s="12" t="str">
        <f t="shared" si="1"/>
        <v/>
      </c>
      <c r="I28" s="12"/>
      <c r="J28" s="12"/>
      <c r="K28" s="12"/>
      <c r="L28" s="12"/>
      <c r="M28" s="12" t="str">
        <f t="shared" si="2"/>
        <v/>
      </c>
      <c r="N28" s="12"/>
      <c r="O28" s="12"/>
      <c r="P28" s="12"/>
      <c r="Q28" s="12" t="str">
        <f t="shared" si="3"/>
        <v/>
      </c>
      <c r="R28" s="12"/>
      <c r="S28" s="12"/>
      <c r="T28" s="12"/>
      <c r="U28" s="12"/>
      <c r="V28" s="12"/>
      <c r="W28" s="12"/>
      <c r="X28" s="12"/>
      <c r="Y28" s="12"/>
      <c r="Z28" s="12"/>
    </row>
    <row r="29" spans="1:26" x14ac:dyDescent="0.3">
      <c r="A29" s="6" t="s">
        <v>101</v>
      </c>
      <c r="B29" s="12"/>
      <c r="C29" s="12"/>
      <c r="D29" s="12" t="str">
        <f t="shared" si="0"/>
        <v/>
      </c>
      <c r="E29" s="12"/>
      <c r="F29" s="12"/>
      <c r="G29" s="12"/>
      <c r="H29" s="12" t="str">
        <f t="shared" si="1"/>
        <v/>
      </c>
      <c r="I29" s="12"/>
      <c r="J29" s="12"/>
      <c r="K29" s="12"/>
      <c r="L29" s="12"/>
      <c r="M29" s="12" t="str">
        <f t="shared" si="2"/>
        <v/>
      </c>
      <c r="N29" s="12"/>
      <c r="O29" s="12"/>
      <c r="P29" s="12"/>
      <c r="Q29" s="12" t="str">
        <f t="shared" si="3"/>
        <v/>
      </c>
      <c r="R29" s="12"/>
      <c r="S29" s="12"/>
      <c r="T29" s="12"/>
      <c r="U29" s="12"/>
      <c r="V29" s="12"/>
      <c r="W29" s="12"/>
      <c r="X29" s="12"/>
      <c r="Y29" s="12"/>
      <c r="Z29" s="12"/>
    </row>
    <row r="30" spans="1:26" x14ac:dyDescent="0.3">
      <c r="A30" s="6" t="s">
        <v>104</v>
      </c>
      <c r="B30" s="12"/>
      <c r="C30" s="12"/>
      <c r="D30" s="12" t="str">
        <f t="shared" si="0"/>
        <v/>
      </c>
      <c r="E30" s="12"/>
      <c r="F30" s="12"/>
      <c r="G30" s="12"/>
      <c r="H30" s="12" t="str">
        <f t="shared" si="1"/>
        <v/>
      </c>
      <c r="I30" s="12"/>
      <c r="J30" s="12"/>
      <c r="K30" s="12"/>
      <c r="L30" s="12"/>
      <c r="M30" s="12" t="str">
        <f t="shared" si="2"/>
        <v/>
      </c>
      <c r="N30" s="12"/>
      <c r="O30" s="12"/>
      <c r="P30" s="12"/>
      <c r="Q30" s="12" t="str">
        <f t="shared" si="3"/>
        <v/>
      </c>
      <c r="R30" s="12"/>
      <c r="S30" s="12"/>
      <c r="T30" s="12"/>
      <c r="U30" s="12"/>
      <c r="V30" s="12"/>
      <c r="W30" s="12"/>
      <c r="X30" s="12"/>
      <c r="Y30" s="12"/>
      <c r="Z30" s="12"/>
    </row>
    <row r="31" spans="1:26" x14ac:dyDescent="0.3">
      <c r="A31" s="6" t="s">
        <v>107</v>
      </c>
      <c r="B31" s="12"/>
      <c r="C31" s="12"/>
      <c r="D31" s="12" t="str">
        <f t="shared" si="0"/>
        <v/>
      </c>
      <c r="E31" s="12"/>
      <c r="F31" s="12"/>
      <c r="G31" s="12"/>
      <c r="H31" s="12" t="str">
        <f t="shared" si="1"/>
        <v/>
      </c>
      <c r="I31" s="12"/>
      <c r="J31" s="12"/>
      <c r="K31" s="12"/>
      <c r="L31" s="12"/>
      <c r="M31" s="12" t="str">
        <f t="shared" si="2"/>
        <v/>
      </c>
      <c r="N31" s="12"/>
      <c r="O31" s="12"/>
      <c r="P31" s="12"/>
      <c r="Q31" s="12" t="str">
        <f t="shared" si="3"/>
        <v/>
      </c>
      <c r="R31" s="12"/>
      <c r="S31" s="12"/>
      <c r="T31" s="12"/>
      <c r="U31" s="12"/>
      <c r="V31" s="12"/>
      <c r="W31" s="12"/>
      <c r="X31" s="12"/>
      <c r="Y31" s="12"/>
      <c r="Z31" s="12"/>
    </row>
    <row r="32" spans="1:26" x14ac:dyDescent="0.3">
      <c r="A32" s="6" t="s">
        <v>111</v>
      </c>
      <c r="B32" s="12"/>
      <c r="C32" s="12"/>
      <c r="D32" s="12" t="str">
        <f t="shared" si="0"/>
        <v/>
      </c>
      <c r="E32" s="12"/>
      <c r="F32" s="12"/>
      <c r="G32" s="12"/>
      <c r="H32" s="12" t="str">
        <f t="shared" si="1"/>
        <v/>
      </c>
      <c r="I32" s="12"/>
      <c r="J32" s="12"/>
      <c r="K32" s="12"/>
      <c r="L32" s="12"/>
      <c r="M32" s="12" t="str">
        <f t="shared" si="2"/>
        <v/>
      </c>
      <c r="N32" s="12"/>
      <c r="O32" s="12"/>
      <c r="P32" s="12"/>
      <c r="Q32" s="12" t="str">
        <f t="shared" si="3"/>
        <v/>
      </c>
      <c r="R32" s="12"/>
      <c r="S32" s="12"/>
      <c r="T32" s="12"/>
      <c r="U32" s="12"/>
      <c r="V32" s="12"/>
      <c r="W32" s="12"/>
      <c r="X32" s="12"/>
      <c r="Y32" s="12"/>
      <c r="Z32" s="12"/>
    </row>
    <row r="33" spans="1:26" x14ac:dyDescent="0.3">
      <c r="A33" s="6" t="s">
        <v>114</v>
      </c>
      <c r="B33" s="12"/>
      <c r="C33" s="12"/>
      <c r="D33" s="12" t="str">
        <f t="shared" si="0"/>
        <v/>
      </c>
      <c r="E33" s="12"/>
      <c r="F33" s="12"/>
      <c r="G33" s="12"/>
      <c r="H33" s="12" t="str">
        <f t="shared" si="1"/>
        <v/>
      </c>
      <c r="I33" s="12"/>
      <c r="J33" s="12"/>
      <c r="K33" s="12"/>
      <c r="L33" s="12"/>
      <c r="M33" s="12" t="str">
        <f t="shared" si="2"/>
        <v/>
      </c>
      <c r="N33" s="12"/>
      <c r="O33" s="12"/>
      <c r="P33" s="12"/>
      <c r="Q33" s="12" t="str">
        <f t="shared" si="3"/>
        <v/>
      </c>
      <c r="R33" s="12"/>
      <c r="S33" s="12"/>
      <c r="T33" s="12"/>
      <c r="U33" s="12"/>
      <c r="V33" s="12"/>
      <c r="W33" s="12"/>
      <c r="X33" s="12"/>
      <c r="Y33" s="12"/>
      <c r="Z33" s="12"/>
    </row>
    <row r="34" spans="1:26" x14ac:dyDescent="0.3">
      <c r="A34" s="6" t="s">
        <v>266</v>
      </c>
      <c r="B34" s="12"/>
      <c r="C34" s="12"/>
      <c r="D34" s="12" t="str">
        <f t="shared" si="0"/>
        <v/>
      </c>
      <c r="E34" s="12"/>
      <c r="F34" s="12"/>
      <c r="G34" s="12"/>
      <c r="H34" s="12" t="str">
        <f t="shared" si="1"/>
        <v/>
      </c>
      <c r="I34" s="12"/>
      <c r="J34" s="12"/>
      <c r="K34" s="12"/>
      <c r="L34" s="12"/>
      <c r="M34" s="12" t="str">
        <f t="shared" si="2"/>
        <v/>
      </c>
      <c r="N34" s="12"/>
      <c r="O34" s="12"/>
      <c r="P34" s="12"/>
      <c r="Q34" s="12" t="str">
        <f t="shared" si="3"/>
        <v/>
      </c>
      <c r="R34" s="12"/>
      <c r="S34" s="12"/>
      <c r="T34" s="12"/>
      <c r="U34" s="12"/>
      <c r="V34" s="12"/>
      <c r="W34" s="12"/>
      <c r="X34" s="12"/>
      <c r="Y34" s="12"/>
      <c r="Z34" s="12"/>
    </row>
    <row r="35" spans="1:26" x14ac:dyDescent="0.3">
      <c r="A35" s="6" t="s">
        <v>269</v>
      </c>
      <c r="B35" s="12"/>
      <c r="C35" s="12"/>
      <c r="D35" s="12" t="str">
        <f t="shared" si="0"/>
        <v/>
      </c>
      <c r="E35" s="12"/>
      <c r="F35" s="12"/>
      <c r="G35" s="12"/>
      <c r="H35" s="12" t="str">
        <f t="shared" si="1"/>
        <v/>
      </c>
      <c r="I35" s="12"/>
      <c r="J35" s="12"/>
      <c r="K35" s="12"/>
      <c r="L35" s="12"/>
      <c r="M35" s="12" t="str">
        <f t="shared" si="2"/>
        <v/>
      </c>
      <c r="N35" s="12"/>
      <c r="O35" s="12"/>
      <c r="P35" s="12"/>
      <c r="Q35" s="12" t="str">
        <f t="shared" si="3"/>
        <v/>
      </c>
      <c r="R35" s="12"/>
      <c r="S35" s="12"/>
      <c r="T35" s="12"/>
      <c r="U35" s="12"/>
      <c r="V35" s="12"/>
      <c r="W35" s="12"/>
      <c r="X35" s="12"/>
      <c r="Y35" s="12"/>
      <c r="Z35" s="12"/>
    </row>
    <row r="36" spans="1:26" x14ac:dyDescent="0.3">
      <c r="A36" s="6" t="s">
        <v>117</v>
      </c>
      <c r="B36" s="12"/>
      <c r="C36" s="12"/>
      <c r="D36" s="12" t="str">
        <f t="shared" si="0"/>
        <v/>
      </c>
      <c r="E36" s="12"/>
      <c r="F36" s="12"/>
      <c r="G36" s="12"/>
      <c r="H36" s="12" t="str">
        <f t="shared" si="1"/>
        <v/>
      </c>
      <c r="I36" s="12"/>
      <c r="J36" s="12"/>
      <c r="K36" s="12"/>
      <c r="L36" s="12"/>
      <c r="M36" s="12" t="str">
        <f t="shared" si="2"/>
        <v/>
      </c>
      <c r="N36" s="12"/>
      <c r="O36" s="12"/>
      <c r="P36" s="12"/>
      <c r="Q36" s="12" t="str">
        <f t="shared" si="3"/>
        <v/>
      </c>
      <c r="R36" s="12"/>
      <c r="S36" s="12"/>
      <c r="T36" s="12"/>
      <c r="U36" s="12"/>
      <c r="V36" s="12"/>
      <c r="W36" s="12"/>
      <c r="X36" s="12"/>
      <c r="Y36" s="12"/>
      <c r="Z36" s="12"/>
    </row>
    <row r="37" spans="1:26" x14ac:dyDescent="0.3">
      <c r="A37" s="6" t="s">
        <v>120</v>
      </c>
      <c r="B37" s="12"/>
      <c r="C37" s="12"/>
      <c r="D37" s="12" t="str">
        <f t="shared" si="0"/>
        <v/>
      </c>
      <c r="E37" s="12"/>
      <c r="F37" s="12"/>
      <c r="G37" s="12"/>
      <c r="H37" s="12" t="str">
        <f t="shared" si="1"/>
        <v/>
      </c>
      <c r="I37" s="12"/>
      <c r="J37" s="12"/>
      <c r="K37" s="12"/>
      <c r="L37" s="12"/>
      <c r="M37" s="12" t="str">
        <f t="shared" si="2"/>
        <v/>
      </c>
      <c r="N37" s="12"/>
      <c r="O37" s="12"/>
      <c r="P37" s="12"/>
      <c r="Q37" s="12" t="str">
        <f t="shared" si="3"/>
        <v/>
      </c>
      <c r="R37" s="12"/>
      <c r="S37" s="12"/>
      <c r="T37" s="12"/>
      <c r="U37" s="12"/>
      <c r="V37" s="12"/>
      <c r="W37" s="12"/>
      <c r="X37" s="12"/>
      <c r="Y37" s="12"/>
      <c r="Z37" s="12"/>
    </row>
    <row r="38" spans="1:26" x14ac:dyDescent="0.3">
      <c r="A38" s="6" t="s">
        <v>123</v>
      </c>
      <c r="B38" s="12"/>
      <c r="C38" s="12"/>
      <c r="D38" s="12" t="str">
        <f t="shared" si="0"/>
        <v/>
      </c>
      <c r="E38" s="12"/>
      <c r="F38" s="12"/>
      <c r="G38" s="12"/>
      <c r="H38" s="12" t="str">
        <f t="shared" si="1"/>
        <v/>
      </c>
      <c r="I38" s="12"/>
      <c r="J38" s="12"/>
      <c r="K38" s="12"/>
      <c r="L38" s="12"/>
      <c r="M38" s="12" t="str">
        <f t="shared" si="2"/>
        <v/>
      </c>
      <c r="N38" s="12"/>
      <c r="O38" s="12"/>
      <c r="P38" s="12"/>
      <c r="Q38" s="12" t="str">
        <f t="shared" si="3"/>
        <v/>
      </c>
      <c r="R38" s="12"/>
      <c r="S38" s="12"/>
      <c r="T38" s="12"/>
      <c r="U38" s="12"/>
      <c r="V38" s="12"/>
      <c r="W38" s="12"/>
      <c r="X38" s="12"/>
      <c r="Y38" s="12"/>
      <c r="Z38" s="12"/>
    </row>
    <row r="39" spans="1:26" x14ac:dyDescent="0.3">
      <c r="A39" s="6" t="s">
        <v>10</v>
      </c>
      <c r="B39" s="12"/>
      <c r="C39" s="12"/>
      <c r="D39" s="12" t="str">
        <f t="shared" si="0"/>
        <v/>
      </c>
      <c r="E39" s="12"/>
      <c r="F39" s="12"/>
      <c r="G39" s="12"/>
      <c r="H39" s="12" t="str">
        <f t="shared" si="1"/>
        <v/>
      </c>
      <c r="I39" s="12"/>
      <c r="J39" s="12"/>
      <c r="K39" s="12"/>
      <c r="L39" s="12"/>
      <c r="M39" s="12" t="str">
        <f t="shared" si="2"/>
        <v/>
      </c>
      <c r="N39" s="12"/>
      <c r="O39" s="12"/>
      <c r="P39" s="12"/>
      <c r="Q39" s="12" t="str">
        <f t="shared" si="3"/>
        <v/>
      </c>
      <c r="R39" s="12"/>
      <c r="S39" s="12"/>
      <c r="T39" s="12"/>
      <c r="U39" s="12"/>
      <c r="V39" s="12"/>
      <c r="W39" s="12"/>
      <c r="X39" s="12"/>
      <c r="Y39" s="12"/>
      <c r="Z39" s="12"/>
    </row>
    <row r="40" spans="1:26" x14ac:dyDescent="0.3">
      <c r="A40" s="6" t="s">
        <v>465</v>
      </c>
      <c r="B40" s="12"/>
      <c r="C40" s="12"/>
      <c r="D40" s="12" t="str">
        <f t="shared" si="0"/>
        <v/>
      </c>
      <c r="E40" s="12"/>
      <c r="F40" s="12"/>
      <c r="G40" s="12"/>
      <c r="H40" s="12" t="str">
        <f t="shared" si="1"/>
        <v/>
      </c>
      <c r="I40" s="12"/>
      <c r="J40" s="12"/>
      <c r="K40" s="12"/>
      <c r="L40" s="12"/>
      <c r="M40" s="12" t="str">
        <f t="shared" si="2"/>
        <v/>
      </c>
      <c r="N40" s="12"/>
      <c r="O40" s="12"/>
      <c r="P40" s="12"/>
      <c r="Q40" s="12" t="str">
        <f t="shared" si="3"/>
        <v/>
      </c>
      <c r="R40" s="12"/>
      <c r="S40" s="12"/>
      <c r="T40" s="12"/>
      <c r="U40" s="12"/>
      <c r="V40" s="12"/>
      <c r="W40" s="12"/>
      <c r="X40" s="12"/>
      <c r="Y40" s="12"/>
      <c r="Z40" s="12"/>
    </row>
    <row r="41" spans="1:26" x14ac:dyDescent="0.3">
      <c r="A41" s="6" t="s">
        <v>466</v>
      </c>
      <c r="B41" s="12"/>
      <c r="C41" s="12"/>
      <c r="D41" s="12" t="str">
        <f t="shared" si="0"/>
        <v/>
      </c>
      <c r="E41" s="12"/>
      <c r="F41" s="12"/>
      <c r="G41" s="12"/>
      <c r="H41" s="12" t="str">
        <f t="shared" si="1"/>
        <v/>
      </c>
      <c r="I41" s="12"/>
      <c r="J41" s="12"/>
      <c r="K41" s="12"/>
      <c r="L41" s="12"/>
      <c r="M41" s="12" t="str">
        <f t="shared" si="2"/>
        <v/>
      </c>
      <c r="N41" s="12"/>
      <c r="O41" s="12"/>
      <c r="P41" s="12"/>
      <c r="Q41" s="12" t="str">
        <f t="shared" si="3"/>
        <v/>
      </c>
      <c r="R41" s="12"/>
      <c r="S41" s="12"/>
      <c r="T41" s="12"/>
      <c r="U41" s="12"/>
      <c r="V41" s="12"/>
      <c r="W41" s="12"/>
      <c r="X41" s="12"/>
      <c r="Y41" s="12"/>
      <c r="Z41" s="12"/>
    </row>
    <row r="42" spans="1:26" x14ac:dyDescent="0.3">
      <c r="A42" s="6" t="s">
        <v>467</v>
      </c>
      <c r="B42" s="12"/>
      <c r="C42" s="12"/>
      <c r="D42" s="12" t="str">
        <f t="shared" si="0"/>
        <v/>
      </c>
      <c r="E42" s="12"/>
      <c r="F42" s="12"/>
      <c r="G42" s="12"/>
      <c r="H42" s="12" t="str">
        <f t="shared" si="1"/>
        <v/>
      </c>
      <c r="I42" s="12"/>
      <c r="J42" s="12"/>
      <c r="K42" s="12"/>
      <c r="L42" s="12"/>
      <c r="M42" s="12" t="str">
        <f t="shared" si="2"/>
        <v/>
      </c>
      <c r="N42" s="12"/>
      <c r="O42" s="12"/>
      <c r="P42" s="12"/>
      <c r="Q42" s="12" t="str">
        <f t="shared" si="3"/>
        <v/>
      </c>
      <c r="R42" s="12"/>
      <c r="S42" s="12"/>
      <c r="T42" s="12"/>
      <c r="U42" s="12"/>
      <c r="V42" s="12"/>
      <c r="W42" s="12"/>
      <c r="X42" s="12"/>
      <c r="Y42" s="12"/>
      <c r="Z42" s="12"/>
    </row>
    <row r="43" spans="1:26" x14ac:dyDescent="0.3">
      <c r="A43" s="6" t="s">
        <v>470</v>
      </c>
      <c r="B43" s="12"/>
      <c r="C43" s="12"/>
      <c r="D43" s="12" t="str">
        <f t="shared" si="0"/>
        <v/>
      </c>
      <c r="E43" s="12"/>
      <c r="F43" s="12"/>
      <c r="G43" s="12"/>
      <c r="H43" s="12" t="str">
        <f t="shared" si="1"/>
        <v/>
      </c>
      <c r="I43" s="12"/>
      <c r="J43" s="12"/>
      <c r="K43" s="12"/>
      <c r="L43" s="12"/>
      <c r="M43" s="12" t="str">
        <f t="shared" si="2"/>
        <v/>
      </c>
      <c r="N43" s="12"/>
      <c r="O43" s="12"/>
      <c r="P43" s="12"/>
      <c r="Q43" s="12" t="str">
        <f t="shared" si="3"/>
        <v/>
      </c>
      <c r="R43" s="12"/>
      <c r="S43" s="12"/>
      <c r="T43" s="12"/>
      <c r="U43" s="12"/>
      <c r="V43" s="12"/>
      <c r="W43" s="12"/>
      <c r="X43" s="12"/>
      <c r="Y43" s="12"/>
      <c r="Z43" s="12"/>
    </row>
    <row r="44" spans="1:26" x14ac:dyDescent="0.3">
      <c r="A44" s="6" t="s">
        <v>471</v>
      </c>
      <c r="B44" s="12"/>
      <c r="C44" s="12"/>
      <c r="D44" s="12" t="str">
        <f t="shared" si="0"/>
        <v/>
      </c>
      <c r="E44" s="12"/>
      <c r="F44" s="12"/>
      <c r="G44" s="12"/>
      <c r="H44" s="12" t="str">
        <f t="shared" si="1"/>
        <v/>
      </c>
      <c r="I44" s="12"/>
      <c r="J44" s="12"/>
      <c r="K44" s="12"/>
      <c r="L44" s="12"/>
      <c r="M44" s="12" t="str">
        <f t="shared" si="2"/>
        <v/>
      </c>
      <c r="N44" s="12"/>
      <c r="O44" s="12"/>
      <c r="P44" s="12"/>
      <c r="Q44" s="12" t="str">
        <f t="shared" si="3"/>
        <v/>
      </c>
      <c r="R44" s="12"/>
      <c r="S44" s="12"/>
      <c r="T44" s="12"/>
      <c r="U44" s="12"/>
      <c r="V44" s="12"/>
      <c r="W44" s="12"/>
      <c r="X44" s="12"/>
      <c r="Y44" s="12"/>
      <c r="Z44" s="12"/>
    </row>
    <row r="45" spans="1:26" x14ac:dyDescent="0.3">
      <c r="A45" s="6" t="s">
        <v>472</v>
      </c>
      <c r="B45" s="12"/>
      <c r="C45" s="12"/>
      <c r="D45" s="12" t="str">
        <f t="shared" si="0"/>
        <v/>
      </c>
      <c r="E45" s="12"/>
      <c r="F45" s="12"/>
      <c r="G45" s="12"/>
      <c r="H45" s="12" t="str">
        <f t="shared" si="1"/>
        <v/>
      </c>
      <c r="I45" s="12"/>
      <c r="J45" s="12"/>
      <c r="K45" s="12"/>
      <c r="L45" s="12"/>
      <c r="M45" s="12" t="str">
        <f t="shared" si="2"/>
        <v/>
      </c>
      <c r="N45" s="12"/>
      <c r="O45" s="12"/>
      <c r="P45" s="12"/>
      <c r="Q45" s="12" t="str">
        <f t="shared" si="3"/>
        <v/>
      </c>
      <c r="R45" s="12"/>
      <c r="S45" s="12"/>
      <c r="T45" s="12"/>
      <c r="U45" s="12"/>
      <c r="V45" s="12"/>
      <c r="W45" s="12"/>
      <c r="X45" s="12"/>
      <c r="Y45" s="12"/>
      <c r="Z45" s="12"/>
    </row>
    <row r="46" spans="1:26" x14ac:dyDescent="0.3">
      <c r="A46" s="6" t="s">
        <v>473</v>
      </c>
      <c r="B46" s="12"/>
      <c r="C46" s="12"/>
      <c r="D46" s="12" t="str">
        <f t="shared" si="0"/>
        <v/>
      </c>
      <c r="E46" s="12"/>
      <c r="F46" s="12"/>
      <c r="G46" s="12"/>
      <c r="H46" s="12" t="str">
        <f t="shared" si="1"/>
        <v/>
      </c>
      <c r="I46" s="12"/>
      <c r="J46" s="12"/>
      <c r="K46" s="12"/>
      <c r="L46" s="12"/>
      <c r="M46" s="12" t="str">
        <f t="shared" si="2"/>
        <v/>
      </c>
      <c r="N46" s="12"/>
      <c r="O46" s="12"/>
      <c r="P46" s="12"/>
      <c r="Q46" s="12" t="str">
        <f t="shared" si="3"/>
        <v/>
      </c>
      <c r="R46" s="12"/>
      <c r="S46" s="12"/>
      <c r="T46" s="12"/>
      <c r="U46" s="12"/>
      <c r="V46" s="12"/>
      <c r="W46" s="12"/>
      <c r="X46" s="12"/>
      <c r="Y46" s="12"/>
      <c r="Z46" s="12"/>
    </row>
    <row r="47" spans="1:26" x14ac:dyDescent="0.3">
      <c r="A47" s="6" t="s">
        <v>474</v>
      </c>
      <c r="B47" s="12"/>
      <c r="C47" s="12"/>
      <c r="D47" s="12" t="str">
        <f t="shared" si="0"/>
        <v/>
      </c>
      <c r="E47" s="12"/>
      <c r="F47" s="12"/>
      <c r="G47" s="12"/>
      <c r="H47" s="12" t="str">
        <f t="shared" si="1"/>
        <v/>
      </c>
      <c r="I47" s="12"/>
      <c r="J47" s="12"/>
      <c r="K47" s="12"/>
      <c r="L47" s="12"/>
      <c r="M47" s="12" t="str">
        <f t="shared" si="2"/>
        <v/>
      </c>
      <c r="N47" s="12"/>
      <c r="O47" s="12"/>
      <c r="P47" s="12"/>
      <c r="Q47" s="12" t="str">
        <f t="shared" si="3"/>
        <v/>
      </c>
      <c r="R47" s="12"/>
      <c r="S47" s="12"/>
      <c r="T47" s="12"/>
      <c r="U47" s="12"/>
      <c r="V47" s="12"/>
      <c r="W47" s="12"/>
      <c r="X47" s="12"/>
      <c r="Y47" s="12"/>
      <c r="Z47" s="12"/>
    </row>
    <row r="48" spans="1:26" x14ac:dyDescent="0.3">
      <c r="A48" s="6" t="s">
        <v>77</v>
      </c>
      <c r="B48" s="12"/>
      <c r="C48" s="12"/>
      <c r="D48" s="12" t="str">
        <f t="shared" si="0"/>
        <v/>
      </c>
      <c r="E48" s="12"/>
      <c r="F48" s="12"/>
      <c r="G48" s="12"/>
      <c r="H48" s="12" t="str">
        <f t="shared" si="1"/>
        <v/>
      </c>
      <c r="I48" s="12"/>
      <c r="J48" s="12"/>
      <c r="K48" s="12"/>
      <c r="L48" s="12"/>
      <c r="M48" s="12" t="str">
        <f t="shared" si="2"/>
        <v/>
      </c>
      <c r="N48" s="12"/>
      <c r="O48" s="12"/>
      <c r="P48" s="12"/>
      <c r="Q48" s="12" t="str">
        <f t="shared" si="3"/>
        <v/>
      </c>
      <c r="R48" s="12"/>
      <c r="S48" s="12"/>
      <c r="T48" s="12"/>
      <c r="U48" s="12"/>
      <c r="V48" s="12"/>
      <c r="W48" s="12"/>
      <c r="X48" s="12"/>
      <c r="Y48" s="12"/>
      <c r="Z48" s="12"/>
    </row>
    <row r="49" spans="1:26" x14ac:dyDescent="0.3">
      <c r="A49" s="6" t="s">
        <v>475</v>
      </c>
      <c r="B49" s="12"/>
      <c r="C49" s="12"/>
      <c r="D49" s="12" t="str">
        <f t="shared" si="0"/>
        <v/>
      </c>
      <c r="E49" s="12"/>
      <c r="F49" s="12"/>
      <c r="G49" s="12"/>
      <c r="H49" s="12" t="str">
        <f t="shared" si="1"/>
        <v/>
      </c>
      <c r="I49" s="12"/>
      <c r="J49" s="12"/>
      <c r="K49" s="12"/>
      <c r="L49" s="12"/>
      <c r="M49" s="12" t="str">
        <f t="shared" si="2"/>
        <v/>
      </c>
      <c r="N49" s="12"/>
      <c r="O49" s="12"/>
      <c r="P49" s="12"/>
      <c r="Q49" s="12" t="str">
        <f t="shared" si="3"/>
        <v/>
      </c>
      <c r="R49" s="12"/>
      <c r="S49" s="12"/>
      <c r="T49" s="12"/>
      <c r="U49" s="12"/>
      <c r="V49" s="12"/>
      <c r="W49" s="12"/>
      <c r="X49" s="12"/>
      <c r="Y49" s="12"/>
      <c r="Z49" s="12"/>
    </row>
    <row r="50" spans="1:26" x14ac:dyDescent="0.3">
      <c r="A50" s="6" t="s">
        <v>476</v>
      </c>
      <c r="B50" s="12"/>
      <c r="C50" s="12"/>
      <c r="D50" s="12" t="str">
        <f t="shared" si="0"/>
        <v/>
      </c>
      <c r="E50" s="12"/>
      <c r="F50" s="12"/>
      <c r="G50" s="12"/>
      <c r="H50" s="12" t="str">
        <f t="shared" si="1"/>
        <v/>
      </c>
      <c r="I50" s="12"/>
      <c r="J50" s="12"/>
      <c r="K50" s="12"/>
      <c r="L50" s="12"/>
      <c r="M50" s="12" t="str">
        <f t="shared" si="2"/>
        <v/>
      </c>
      <c r="N50" s="12"/>
      <c r="O50" s="12"/>
      <c r="P50" s="12"/>
      <c r="Q50" s="12" t="str">
        <f t="shared" si="3"/>
        <v/>
      </c>
      <c r="R50" s="12"/>
      <c r="S50" s="12"/>
      <c r="T50" s="12"/>
      <c r="U50" s="12"/>
      <c r="V50" s="12"/>
      <c r="W50" s="12"/>
      <c r="X50" s="12"/>
      <c r="Y50" s="12"/>
      <c r="Z50" s="12"/>
    </row>
    <row r="51" spans="1:26" x14ac:dyDescent="0.3">
      <c r="A51" s="6" t="s">
        <v>477</v>
      </c>
      <c r="B51" s="12"/>
      <c r="C51" s="12"/>
      <c r="D51" s="12" t="str">
        <f t="shared" si="0"/>
        <v/>
      </c>
      <c r="E51" s="12"/>
      <c r="F51" s="12"/>
      <c r="G51" s="12"/>
      <c r="H51" s="12" t="str">
        <f t="shared" si="1"/>
        <v/>
      </c>
      <c r="I51" s="12"/>
      <c r="J51" s="12"/>
      <c r="K51" s="12"/>
      <c r="L51" s="12"/>
      <c r="M51" s="12" t="str">
        <f t="shared" si="2"/>
        <v/>
      </c>
      <c r="N51" s="12"/>
      <c r="O51" s="12"/>
      <c r="P51" s="12"/>
      <c r="Q51" s="12" t="str">
        <f t="shared" si="3"/>
        <v/>
      </c>
      <c r="R51" s="12"/>
      <c r="S51" s="12"/>
      <c r="T51" s="12"/>
      <c r="U51" s="12"/>
      <c r="V51" s="12"/>
      <c r="W51" s="12"/>
      <c r="X51" s="12"/>
      <c r="Y51" s="12"/>
      <c r="Z51" s="12"/>
    </row>
    <row r="52" spans="1:26" x14ac:dyDescent="0.3">
      <c r="A52" s="6" t="s">
        <v>478</v>
      </c>
      <c r="B52" s="12"/>
      <c r="C52" s="12"/>
      <c r="D52" s="12" t="str">
        <f t="shared" si="0"/>
        <v/>
      </c>
      <c r="E52" s="12"/>
      <c r="F52" s="12"/>
      <c r="G52" s="12"/>
      <c r="H52" s="12" t="str">
        <f t="shared" si="1"/>
        <v/>
      </c>
      <c r="I52" s="12"/>
      <c r="J52" s="12"/>
      <c r="K52" s="12"/>
      <c r="L52" s="12"/>
      <c r="M52" s="12" t="str">
        <f t="shared" si="2"/>
        <v/>
      </c>
      <c r="N52" s="12"/>
      <c r="O52" s="12"/>
      <c r="P52" s="12"/>
      <c r="Q52" s="12" t="str">
        <f t="shared" si="3"/>
        <v/>
      </c>
      <c r="R52" s="12"/>
      <c r="S52" s="12"/>
      <c r="T52" s="12"/>
      <c r="U52" s="12"/>
      <c r="V52" s="12"/>
      <c r="W52" s="12"/>
      <c r="X52" s="12"/>
      <c r="Y52" s="12"/>
      <c r="Z52" s="12"/>
    </row>
    <row r="53" spans="1:26" x14ac:dyDescent="0.3">
      <c r="A53" s="6" t="s">
        <v>479</v>
      </c>
      <c r="B53" s="12"/>
      <c r="C53" s="12"/>
      <c r="D53" s="12" t="str">
        <f t="shared" si="0"/>
        <v/>
      </c>
      <c r="E53" s="12"/>
      <c r="F53" s="12"/>
      <c r="G53" s="12"/>
      <c r="H53" s="12" t="str">
        <f t="shared" si="1"/>
        <v/>
      </c>
      <c r="I53" s="12"/>
      <c r="J53" s="12"/>
      <c r="K53" s="12"/>
      <c r="L53" s="12"/>
      <c r="M53" s="12" t="str">
        <f t="shared" si="2"/>
        <v/>
      </c>
      <c r="N53" s="12"/>
      <c r="O53" s="12"/>
      <c r="P53" s="12"/>
      <c r="Q53" s="12" t="str">
        <f t="shared" si="3"/>
        <v/>
      </c>
      <c r="R53" s="12"/>
      <c r="S53" s="12"/>
      <c r="T53" s="12"/>
      <c r="U53" s="12"/>
      <c r="V53" s="12"/>
      <c r="W53" s="12"/>
      <c r="X53" s="12"/>
      <c r="Y53" s="12"/>
      <c r="Z53" s="12"/>
    </row>
    <row r="54" spans="1:26" x14ac:dyDescent="0.3">
      <c r="A54" s="6" t="s">
        <v>480</v>
      </c>
      <c r="B54" s="12"/>
      <c r="C54" s="12"/>
      <c r="D54" s="12" t="str">
        <f t="shared" si="0"/>
        <v/>
      </c>
      <c r="E54" s="12"/>
      <c r="F54" s="12"/>
      <c r="G54" s="12"/>
      <c r="H54" s="12" t="str">
        <f t="shared" si="1"/>
        <v/>
      </c>
      <c r="I54" s="12"/>
      <c r="J54" s="12"/>
      <c r="K54" s="12"/>
      <c r="L54" s="12"/>
      <c r="M54" s="12" t="str">
        <f t="shared" si="2"/>
        <v/>
      </c>
      <c r="N54" s="12"/>
      <c r="O54" s="12"/>
      <c r="P54" s="12"/>
      <c r="Q54" s="12" t="str">
        <f t="shared" si="3"/>
        <v/>
      </c>
      <c r="R54" s="12"/>
      <c r="S54" s="12"/>
      <c r="T54" s="12"/>
      <c r="U54" s="12"/>
      <c r="V54" s="12"/>
      <c r="W54" s="12"/>
      <c r="X54" s="12"/>
      <c r="Y54" s="12"/>
      <c r="Z54" s="12"/>
    </row>
    <row r="55" spans="1:26" x14ac:dyDescent="0.3">
      <c r="A55" s="6" t="s">
        <v>481</v>
      </c>
      <c r="B55" s="12"/>
      <c r="C55" s="12"/>
      <c r="D55" s="12" t="str">
        <f t="shared" si="0"/>
        <v/>
      </c>
      <c r="E55" s="12"/>
      <c r="F55" s="12"/>
      <c r="G55" s="12"/>
      <c r="H55" s="12" t="str">
        <f t="shared" si="1"/>
        <v/>
      </c>
      <c r="I55" s="12"/>
      <c r="J55" s="12"/>
      <c r="K55" s="12"/>
      <c r="L55" s="12"/>
      <c r="M55" s="12" t="str">
        <f t="shared" si="2"/>
        <v/>
      </c>
      <c r="N55" s="12"/>
      <c r="O55" s="12"/>
      <c r="P55" s="12"/>
      <c r="Q55" s="12" t="str">
        <f t="shared" si="3"/>
        <v/>
      </c>
      <c r="R55" s="12"/>
      <c r="S55" s="12"/>
      <c r="T55" s="12"/>
      <c r="U55" s="12"/>
      <c r="V55" s="12"/>
      <c r="W55" s="12"/>
      <c r="X55" s="12"/>
      <c r="Y55" s="12"/>
      <c r="Z55" s="12"/>
    </row>
    <row r="56" spans="1:26" x14ac:dyDescent="0.3">
      <c r="A56" s="6" t="s">
        <v>21</v>
      </c>
      <c r="B56" s="12"/>
      <c r="C56" s="12"/>
      <c r="D56" s="12" t="str">
        <f t="shared" si="0"/>
        <v/>
      </c>
      <c r="E56" s="12"/>
      <c r="F56" s="12"/>
      <c r="G56" s="12"/>
      <c r="H56" s="12" t="str">
        <f t="shared" si="1"/>
        <v/>
      </c>
      <c r="I56" s="12"/>
      <c r="J56" s="12"/>
      <c r="K56" s="12"/>
      <c r="L56" s="12"/>
      <c r="M56" s="12" t="str">
        <f t="shared" si="2"/>
        <v/>
      </c>
      <c r="N56" s="12"/>
      <c r="O56" s="12"/>
      <c r="P56" s="12"/>
      <c r="Q56" s="12" t="str">
        <f t="shared" si="3"/>
        <v/>
      </c>
      <c r="R56" s="12"/>
      <c r="S56" s="12"/>
      <c r="T56" s="12"/>
      <c r="U56" s="12"/>
      <c r="V56" s="12"/>
      <c r="W56" s="12"/>
      <c r="X56" s="12"/>
      <c r="Y56" s="12"/>
      <c r="Z56" s="12"/>
    </row>
    <row r="57" spans="1:26" x14ac:dyDescent="0.3">
      <c r="A57" s="6" t="s">
        <v>503</v>
      </c>
      <c r="B57" s="12"/>
      <c r="C57" s="12"/>
      <c r="D57" s="12" t="str">
        <f t="shared" si="0"/>
        <v/>
      </c>
      <c r="E57" s="12"/>
      <c r="F57" s="12"/>
      <c r="G57" s="12"/>
      <c r="H57" s="12" t="str">
        <f t="shared" si="1"/>
        <v/>
      </c>
      <c r="I57" s="12"/>
      <c r="J57" s="12"/>
      <c r="K57" s="12"/>
      <c r="L57" s="12"/>
      <c r="M57" s="12" t="str">
        <f t="shared" si="2"/>
        <v/>
      </c>
      <c r="N57" s="12"/>
      <c r="O57" s="12"/>
      <c r="P57" s="12"/>
      <c r="Q57" s="12" t="str">
        <f t="shared" si="3"/>
        <v/>
      </c>
      <c r="R57" s="12"/>
      <c r="S57" s="12"/>
      <c r="T57" s="12"/>
      <c r="U57" s="12"/>
      <c r="V57" s="12"/>
      <c r="W57" s="12"/>
      <c r="X57" s="12"/>
      <c r="Y57" s="12"/>
      <c r="Z57" s="12"/>
    </row>
    <row r="58" spans="1:26" x14ac:dyDescent="0.3">
      <c r="A58" s="6" t="s">
        <v>504</v>
      </c>
      <c r="B58" s="12"/>
      <c r="C58" s="12"/>
      <c r="D58" s="12" t="str">
        <f t="shared" si="0"/>
        <v/>
      </c>
      <c r="E58" s="12"/>
      <c r="F58" s="12"/>
      <c r="G58" s="12"/>
      <c r="H58" s="12" t="str">
        <f t="shared" si="1"/>
        <v/>
      </c>
      <c r="I58" s="12"/>
      <c r="J58" s="12"/>
      <c r="K58" s="12"/>
      <c r="L58" s="12"/>
      <c r="M58" s="12" t="str">
        <f t="shared" si="2"/>
        <v/>
      </c>
      <c r="N58" s="12"/>
      <c r="O58" s="12"/>
      <c r="P58" s="12"/>
      <c r="Q58" s="12" t="str">
        <f t="shared" si="3"/>
        <v/>
      </c>
      <c r="R58" s="12"/>
      <c r="S58" s="12"/>
      <c r="T58" s="12"/>
      <c r="U58" s="12"/>
      <c r="V58" s="12"/>
      <c r="W58" s="12"/>
      <c r="X58" s="12"/>
      <c r="Y58" s="12"/>
      <c r="Z58" s="12"/>
    </row>
    <row r="59" spans="1:26" x14ac:dyDescent="0.3">
      <c r="A59" s="6" t="s">
        <v>511</v>
      </c>
      <c r="B59" s="12"/>
      <c r="C59" s="12"/>
      <c r="D59" s="12" t="str">
        <f t="shared" si="0"/>
        <v/>
      </c>
      <c r="E59" s="12"/>
      <c r="F59" s="12"/>
      <c r="G59" s="12"/>
      <c r="H59" s="12" t="str">
        <f t="shared" si="1"/>
        <v/>
      </c>
      <c r="I59" s="12"/>
      <c r="J59" s="12"/>
      <c r="K59" s="12"/>
      <c r="L59" s="12"/>
      <c r="M59" s="12" t="str">
        <f t="shared" si="2"/>
        <v/>
      </c>
      <c r="N59" s="12"/>
      <c r="O59" s="12"/>
      <c r="P59" s="12"/>
      <c r="Q59" s="12" t="str">
        <f t="shared" si="3"/>
        <v/>
      </c>
      <c r="R59" s="12"/>
      <c r="S59" s="12"/>
      <c r="T59" s="12"/>
      <c r="U59" s="12"/>
      <c r="V59" s="12"/>
      <c r="W59" s="12"/>
      <c r="X59" s="12"/>
      <c r="Y59" s="12"/>
      <c r="Z59" s="12"/>
    </row>
    <row r="60" spans="1:26" x14ac:dyDescent="0.3">
      <c r="A60" s="6" t="s">
        <v>512</v>
      </c>
      <c r="B60" s="12"/>
      <c r="C60" s="12"/>
      <c r="D60" s="12" t="str">
        <f t="shared" si="0"/>
        <v/>
      </c>
      <c r="E60" s="12"/>
      <c r="F60" s="12"/>
      <c r="G60" s="12"/>
      <c r="H60" s="12" t="str">
        <f t="shared" si="1"/>
        <v/>
      </c>
      <c r="I60" s="12"/>
      <c r="J60" s="12"/>
      <c r="K60" s="12"/>
      <c r="L60" s="12"/>
      <c r="M60" s="12" t="str">
        <f t="shared" si="2"/>
        <v/>
      </c>
      <c r="N60" s="12"/>
      <c r="O60" s="12"/>
      <c r="P60" s="12"/>
      <c r="Q60" s="12" t="str">
        <f t="shared" si="3"/>
        <v/>
      </c>
      <c r="R60" s="12"/>
      <c r="S60" s="12"/>
      <c r="T60" s="12"/>
      <c r="U60" s="12"/>
      <c r="V60" s="12"/>
      <c r="W60" s="12"/>
      <c r="X60" s="12"/>
      <c r="Y60" s="12"/>
      <c r="Z60" s="12"/>
    </row>
    <row r="61" spans="1:26" x14ac:dyDescent="0.3">
      <c r="A61" s="6" t="s">
        <v>514</v>
      </c>
      <c r="B61" s="12"/>
      <c r="C61" s="12"/>
      <c r="D61" s="12" t="str">
        <f t="shared" si="0"/>
        <v/>
      </c>
      <c r="E61" s="12"/>
      <c r="F61" s="12"/>
      <c r="G61" s="12"/>
      <c r="H61" s="12" t="str">
        <f t="shared" si="1"/>
        <v/>
      </c>
      <c r="I61" s="12"/>
      <c r="J61" s="12"/>
      <c r="K61" s="12"/>
      <c r="L61" s="12"/>
      <c r="M61" s="12" t="str">
        <f t="shared" si="2"/>
        <v/>
      </c>
      <c r="N61" s="12"/>
      <c r="O61" s="12"/>
      <c r="P61" s="12"/>
      <c r="Q61" s="12" t="str">
        <f t="shared" si="3"/>
        <v/>
      </c>
      <c r="R61" s="12"/>
      <c r="S61" s="12"/>
      <c r="T61" s="12"/>
      <c r="U61" s="12"/>
      <c r="V61" s="12"/>
      <c r="W61" s="12"/>
      <c r="X61" s="12"/>
      <c r="Y61" s="12"/>
      <c r="Z61" s="12"/>
    </row>
    <row r="62" spans="1:26" x14ac:dyDescent="0.3">
      <c r="A62" s="6" t="s">
        <v>515</v>
      </c>
      <c r="B62" s="12"/>
      <c r="C62" s="12"/>
      <c r="D62" s="12" t="str">
        <f t="shared" si="0"/>
        <v/>
      </c>
      <c r="E62" s="12"/>
      <c r="F62" s="12"/>
      <c r="G62" s="12"/>
      <c r="H62" s="12" t="str">
        <f t="shared" si="1"/>
        <v/>
      </c>
      <c r="I62" s="12"/>
      <c r="J62" s="12"/>
      <c r="K62" s="12"/>
      <c r="L62" s="12"/>
      <c r="M62" s="12" t="str">
        <f t="shared" si="2"/>
        <v/>
      </c>
      <c r="N62" s="12"/>
      <c r="O62" s="12"/>
      <c r="P62" s="12"/>
      <c r="Q62" s="12" t="str">
        <f t="shared" si="3"/>
        <v/>
      </c>
      <c r="R62" s="12"/>
      <c r="S62" s="12"/>
      <c r="T62" s="12"/>
      <c r="U62" s="12"/>
      <c r="V62" s="12"/>
      <c r="W62" s="12"/>
      <c r="X62" s="12"/>
      <c r="Y62" s="12"/>
      <c r="Z62" s="12"/>
    </row>
    <row r="63" spans="1:26" x14ac:dyDescent="0.3">
      <c r="A63" s="6" t="s">
        <v>516</v>
      </c>
      <c r="B63" s="12"/>
      <c r="C63" s="12"/>
      <c r="D63" s="12" t="str">
        <f t="shared" si="0"/>
        <v/>
      </c>
      <c r="E63" s="12"/>
      <c r="F63" s="12"/>
      <c r="G63" s="12"/>
      <c r="H63" s="12" t="str">
        <f t="shared" si="1"/>
        <v/>
      </c>
      <c r="I63" s="12"/>
      <c r="J63" s="12"/>
      <c r="K63" s="12"/>
      <c r="L63" s="12"/>
      <c r="M63" s="12" t="str">
        <f t="shared" si="2"/>
        <v/>
      </c>
      <c r="N63" s="12"/>
      <c r="O63" s="12"/>
      <c r="P63" s="12"/>
      <c r="Q63" s="12" t="str">
        <f t="shared" si="3"/>
        <v/>
      </c>
      <c r="R63" s="12"/>
      <c r="S63" s="12"/>
      <c r="T63" s="12"/>
      <c r="U63" s="12"/>
      <c r="V63" s="12"/>
      <c r="W63" s="12"/>
      <c r="X63" s="12"/>
      <c r="Y63" s="12"/>
      <c r="Z63" s="12"/>
    </row>
    <row r="64" spans="1:26" x14ac:dyDescent="0.3">
      <c r="A64" s="6" t="s">
        <v>517</v>
      </c>
      <c r="B64" s="12"/>
      <c r="C64" s="12"/>
      <c r="D64" s="12" t="str">
        <f t="shared" si="0"/>
        <v/>
      </c>
      <c r="E64" s="12"/>
      <c r="F64" s="12"/>
      <c r="G64" s="12"/>
      <c r="H64" s="12" t="str">
        <f t="shared" si="1"/>
        <v/>
      </c>
      <c r="I64" s="12"/>
      <c r="J64" s="12"/>
      <c r="K64" s="12"/>
      <c r="L64" s="12"/>
      <c r="M64" s="12" t="str">
        <f t="shared" si="2"/>
        <v/>
      </c>
      <c r="N64" s="12"/>
      <c r="O64" s="12"/>
      <c r="P64" s="12"/>
      <c r="Q64" s="12" t="str">
        <f t="shared" si="3"/>
        <v/>
      </c>
      <c r="R64" s="12"/>
      <c r="S64" s="12"/>
      <c r="T64" s="12"/>
      <c r="U64" s="12"/>
      <c r="V64" s="12"/>
      <c r="W64" s="12"/>
      <c r="X64" s="12"/>
      <c r="Y64" s="12"/>
      <c r="Z64" s="12"/>
    </row>
    <row r="65" spans="1:26" x14ac:dyDescent="0.3">
      <c r="A65" s="6" t="s">
        <v>518</v>
      </c>
      <c r="B65" s="12"/>
      <c r="C65" s="12"/>
      <c r="D65" s="12" t="str">
        <f t="shared" si="0"/>
        <v/>
      </c>
      <c r="E65" s="12"/>
      <c r="F65" s="12"/>
      <c r="G65" s="12"/>
      <c r="H65" s="12" t="str">
        <f t="shared" si="1"/>
        <v/>
      </c>
      <c r="I65" s="12"/>
      <c r="J65" s="12"/>
      <c r="K65" s="12"/>
      <c r="L65" s="12"/>
      <c r="M65" s="12" t="str">
        <f t="shared" si="2"/>
        <v/>
      </c>
      <c r="N65" s="12"/>
      <c r="O65" s="12"/>
      <c r="P65" s="12"/>
      <c r="Q65" s="12" t="str">
        <f t="shared" si="3"/>
        <v/>
      </c>
      <c r="R65" s="12"/>
      <c r="S65" s="12"/>
      <c r="T65" s="12"/>
      <c r="U65" s="12"/>
      <c r="V65" s="12"/>
      <c r="W65" s="12"/>
      <c r="X65" s="12"/>
      <c r="Y65" s="12"/>
      <c r="Z65" s="12"/>
    </row>
    <row r="66" spans="1:26" x14ac:dyDescent="0.3">
      <c r="A66" s="6" t="s">
        <v>519</v>
      </c>
      <c r="B66" s="12"/>
      <c r="C66" s="12"/>
      <c r="D66" s="12" t="str">
        <f t="shared" si="0"/>
        <v/>
      </c>
      <c r="E66" s="12"/>
      <c r="F66" s="12"/>
      <c r="G66" s="12"/>
      <c r="H66" s="12" t="str">
        <f t="shared" si="1"/>
        <v/>
      </c>
      <c r="I66" s="12"/>
      <c r="J66" s="12"/>
      <c r="K66" s="12"/>
      <c r="L66" s="12"/>
      <c r="M66" s="12" t="str">
        <f t="shared" si="2"/>
        <v/>
      </c>
      <c r="N66" s="12"/>
      <c r="O66" s="12"/>
      <c r="P66" s="12"/>
      <c r="Q66" s="12" t="str">
        <f t="shared" si="3"/>
        <v/>
      </c>
      <c r="R66" s="12"/>
      <c r="S66" s="12"/>
      <c r="T66" s="12"/>
      <c r="U66" s="12"/>
      <c r="V66" s="12"/>
      <c r="W66" s="12"/>
      <c r="X66" s="12"/>
      <c r="Y66" s="12"/>
      <c r="Z66" s="12"/>
    </row>
    <row r="67" spans="1:26" x14ac:dyDescent="0.3">
      <c r="A67" s="6" t="s">
        <v>524</v>
      </c>
      <c r="B67" s="12"/>
      <c r="C67" s="12"/>
      <c r="D67" s="12" t="str">
        <f t="shared" ref="D67:D130" si="6">IF(B67="", "", (C67/B67)*100)</f>
        <v/>
      </c>
      <c r="E67" s="12"/>
      <c r="F67" s="12"/>
      <c r="G67" s="12"/>
      <c r="H67" s="12" t="str">
        <f t="shared" ref="H67:H130" si="7">IF(F67="", "", E67/F67)</f>
        <v/>
      </c>
      <c r="I67" s="12"/>
      <c r="J67" s="12"/>
      <c r="K67" s="12"/>
      <c r="L67" s="12"/>
      <c r="M67" s="12" t="str">
        <f t="shared" ref="M67:M130" si="8">IF(J67="", "", (L67/J67)*100)</f>
        <v/>
      </c>
      <c r="N67" s="12"/>
      <c r="O67" s="12"/>
      <c r="P67" s="12"/>
      <c r="Q67" s="12" t="str">
        <f t="shared" ref="Q67:Q130" si="9">IF(N67="", "", (P67/N67)*100)</f>
        <v/>
      </c>
      <c r="R67" s="12"/>
      <c r="S67" s="12"/>
      <c r="T67" s="12"/>
      <c r="U67" s="12"/>
      <c r="V67" s="12"/>
      <c r="W67" s="12"/>
      <c r="X67" s="12"/>
      <c r="Y67" s="12"/>
      <c r="Z67" s="12"/>
    </row>
    <row r="68" spans="1:26" x14ac:dyDescent="0.3">
      <c r="A68" s="6" t="s">
        <v>525</v>
      </c>
      <c r="B68" s="12"/>
      <c r="C68" s="12"/>
      <c r="D68" s="12" t="str">
        <f t="shared" si="6"/>
        <v/>
      </c>
      <c r="E68" s="12"/>
      <c r="F68" s="12"/>
      <c r="G68" s="12"/>
      <c r="H68" s="12" t="str">
        <f t="shared" si="7"/>
        <v/>
      </c>
      <c r="I68" s="12"/>
      <c r="J68" s="12"/>
      <c r="K68" s="12"/>
      <c r="L68" s="12"/>
      <c r="M68" s="12" t="str">
        <f t="shared" si="8"/>
        <v/>
      </c>
      <c r="N68" s="12"/>
      <c r="O68" s="12"/>
      <c r="P68" s="12"/>
      <c r="Q68" s="12" t="str">
        <f t="shared" si="9"/>
        <v/>
      </c>
      <c r="R68" s="12"/>
      <c r="S68" s="12"/>
      <c r="T68" s="12"/>
      <c r="U68" s="12"/>
      <c r="V68" s="12"/>
      <c r="W68" s="12"/>
      <c r="X68" s="12"/>
      <c r="Y68" s="12"/>
      <c r="Z68" s="12"/>
    </row>
    <row r="69" spans="1:26" x14ac:dyDescent="0.3">
      <c r="A69" s="6" t="s">
        <v>526</v>
      </c>
      <c r="B69" s="12"/>
      <c r="C69" s="12"/>
      <c r="D69" s="12" t="str">
        <f t="shared" si="6"/>
        <v/>
      </c>
      <c r="E69" s="12"/>
      <c r="F69" s="12"/>
      <c r="G69" s="12"/>
      <c r="H69" s="12" t="str">
        <f t="shared" si="7"/>
        <v/>
      </c>
      <c r="I69" s="12"/>
      <c r="J69" s="12"/>
      <c r="K69" s="12"/>
      <c r="L69" s="12"/>
      <c r="M69" s="12" t="str">
        <f t="shared" si="8"/>
        <v/>
      </c>
      <c r="N69" s="12"/>
      <c r="O69" s="12"/>
      <c r="P69" s="12"/>
      <c r="Q69" s="12" t="str">
        <f t="shared" si="9"/>
        <v/>
      </c>
      <c r="R69" s="12"/>
      <c r="S69" s="12"/>
      <c r="T69" s="12"/>
      <c r="U69" s="12"/>
      <c r="V69" s="12"/>
      <c r="W69" s="12"/>
      <c r="X69" s="12"/>
      <c r="Y69" s="12"/>
      <c r="Z69" s="12"/>
    </row>
    <row r="70" spans="1:26" x14ac:dyDescent="0.3">
      <c r="A70" s="6" t="s">
        <v>527</v>
      </c>
      <c r="B70" s="12"/>
      <c r="C70" s="12"/>
      <c r="D70" s="12" t="str">
        <f t="shared" si="6"/>
        <v/>
      </c>
      <c r="E70" s="12"/>
      <c r="F70" s="12"/>
      <c r="G70" s="12"/>
      <c r="H70" s="12" t="str">
        <f t="shared" si="7"/>
        <v/>
      </c>
      <c r="I70" s="12"/>
      <c r="J70" s="12"/>
      <c r="K70" s="12"/>
      <c r="L70" s="12"/>
      <c r="M70" s="12" t="str">
        <f t="shared" si="8"/>
        <v/>
      </c>
      <c r="N70" s="12"/>
      <c r="O70" s="12"/>
      <c r="P70" s="12"/>
      <c r="Q70" s="12" t="str">
        <f t="shared" si="9"/>
        <v/>
      </c>
      <c r="R70" s="12"/>
      <c r="S70" s="12"/>
      <c r="T70" s="12"/>
      <c r="U70" s="12"/>
      <c r="V70" s="12"/>
      <c r="W70" s="12"/>
      <c r="X70" s="12"/>
      <c r="Y70" s="12"/>
      <c r="Z70" s="12"/>
    </row>
    <row r="71" spans="1:26" x14ac:dyDescent="0.3">
      <c r="A71" s="6" t="s">
        <v>29</v>
      </c>
      <c r="B71" s="12"/>
      <c r="C71" s="12"/>
      <c r="D71" s="12" t="str">
        <f t="shared" si="6"/>
        <v/>
      </c>
      <c r="E71" s="12"/>
      <c r="F71" s="12"/>
      <c r="G71" s="12"/>
      <c r="H71" s="12" t="str">
        <f t="shared" si="7"/>
        <v/>
      </c>
      <c r="I71" s="12"/>
      <c r="J71" s="12"/>
      <c r="K71" s="12"/>
      <c r="L71" s="12"/>
      <c r="M71" s="12" t="str">
        <f t="shared" si="8"/>
        <v/>
      </c>
      <c r="N71" s="12"/>
      <c r="O71" s="12"/>
      <c r="P71" s="12"/>
      <c r="Q71" s="12" t="str">
        <f t="shared" si="9"/>
        <v/>
      </c>
      <c r="R71" s="12"/>
      <c r="S71" s="12"/>
      <c r="T71" s="12"/>
      <c r="U71" s="12"/>
      <c r="V71" s="12"/>
      <c r="W71" s="12"/>
      <c r="X71" s="12"/>
      <c r="Y71" s="12"/>
      <c r="Z71" s="12"/>
    </row>
    <row r="72" spans="1:26" x14ac:dyDescent="0.3">
      <c r="A72" s="6" t="s">
        <v>528</v>
      </c>
      <c r="B72" s="12"/>
      <c r="C72" s="12"/>
      <c r="D72" s="12" t="str">
        <f t="shared" si="6"/>
        <v/>
      </c>
      <c r="E72" s="12"/>
      <c r="F72" s="12"/>
      <c r="G72" s="12"/>
      <c r="H72" s="12" t="str">
        <f t="shared" si="7"/>
        <v/>
      </c>
      <c r="I72" s="12"/>
      <c r="J72" s="12"/>
      <c r="K72" s="12"/>
      <c r="L72" s="12"/>
      <c r="M72" s="12" t="str">
        <f t="shared" si="8"/>
        <v/>
      </c>
      <c r="N72" s="12"/>
      <c r="O72" s="12"/>
      <c r="P72" s="12"/>
      <c r="Q72" s="12" t="str">
        <f t="shared" si="9"/>
        <v/>
      </c>
      <c r="R72" s="12"/>
      <c r="S72" s="12"/>
      <c r="T72" s="12"/>
      <c r="U72" s="12"/>
      <c r="V72" s="12"/>
      <c r="W72" s="12"/>
      <c r="X72" s="12"/>
      <c r="Y72" s="12"/>
      <c r="Z72" s="12"/>
    </row>
    <row r="73" spans="1:26" x14ac:dyDescent="0.3">
      <c r="A73" s="6" t="s">
        <v>529</v>
      </c>
      <c r="B73" s="12"/>
      <c r="C73" s="12"/>
      <c r="D73" s="12" t="str">
        <f t="shared" si="6"/>
        <v/>
      </c>
      <c r="E73" s="12"/>
      <c r="F73" s="12"/>
      <c r="G73" s="12"/>
      <c r="H73" s="12" t="str">
        <f t="shared" si="7"/>
        <v/>
      </c>
      <c r="I73" s="12"/>
      <c r="J73" s="12"/>
      <c r="K73" s="12"/>
      <c r="L73" s="12"/>
      <c r="M73" s="12" t="str">
        <f t="shared" si="8"/>
        <v/>
      </c>
      <c r="N73" s="12"/>
      <c r="O73" s="12"/>
      <c r="P73" s="12"/>
      <c r="Q73" s="12" t="str">
        <f t="shared" si="9"/>
        <v/>
      </c>
      <c r="R73" s="12"/>
      <c r="S73" s="12"/>
      <c r="T73" s="12"/>
      <c r="U73" s="12"/>
      <c r="V73" s="12"/>
      <c r="W73" s="12"/>
      <c r="X73" s="12"/>
      <c r="Y73" s="12"/>
      <c r="Z73" s="12"/>
    </row>
    <row r="74" spans="1:26" x14ac:dyDescent="0.3">
      <c r="A74" s="6" t="s">
        <v>530</v>
      </c>
      <c r="B74" s="12"/>
      <c r="C74" s="12"/>
      <c r="D74" s="12" t="str">
        <f t="shared" si="6"/>
        <v/>
      </c>
      <c r="E74" s="12"/>
      <c r="F74" s="12"/>
      <c r="G74" s="12"/>
      <c r="H74" s="12" t="str">
        <f t="shared" si="7"/>
        <v/>
      </c>
      <c r="I74" s="12"/>
      <c r="J74" s="12"/>
      <c r="K74" s="12"/>
      <c r="L74" s="12"/>
      <c r="M74" s="12" t="str">
        <f t="shared" si="8"/>
        <v/>
      </c>
      <c r="N74" s="12"/>
      <c r="O74" s="12"/>
      <c r="P74" s="12"/>
      <c r="Q74" s="12" t="str">
        <f t="shared" si="9"/>
        <v/>
      </c>
      <c r="R74" s="12"/>
      <c r="S74" s="12"/>
      <c r="T74" s="12"/>
      <c r="U74" s="12"/>
      <c r="V74" s="12"/>
      <c r="W74" s="12"/>
      <c r="X74" s="12"/>
      <c r="Y74" s="12"/>
      <c r="Z74" s="12"/>
    </row>
    <row r="75" spans="1:26" x14ac:dyDescent="0.3">
      <c r="A75" s="6" t="s">
        <v>531</v>
      </c>
      <c r="B75" s="12"/>
      <c r="C75" s="12"/>
      <c r="D75" s="12" t="str">
        <f t="shared" si="6"/>
        <v/>
      </c>
      <c r="E75" s="12"/>
      <c r="F75" s="12"/>
      <c r="G75" s="12"/>
      <c r="H75" s="12" t="str">
        <f t="shared" si="7"/>
        <v/>
      </c>
      <c r="I75" s="12"/>
      <c r="J75" s="12"/>
      <c r="K75" s="12"/>
      <c r="L75" s="12"/>
      <c r="M75" s="12" t="str">
        <f t="shared" si="8"/>
        <v/>
      </c>
      <c r="N75" s="12"/>
      <c r="O75" s="12"/>
      <c r="P75" s="12"/>
      <c r="Q75" s="12" t="str">
        <f t="shared" si="9"/>
        <v/>
      </c>
      <c r="R75" s="12"/>
      <c r="S75" s="12"/>
      <c r="T75" s="12"/>
      <c r="U75" s="12"/>
      <c r="V75" s="12"/>
      <c r="W75" s="12"/>
      <c r="X75" s="12"/>
      <c r="Y75" s="12"/>
      <c r="Z75" s="12"/>
    </row>
    <row r="76" spans="1:26" x14ac:dyDescent="0.3">
      <c r="A76" s="6" t="s">
        <v>532</v>
      </c>
      <c r="B76" s="12"/>
      <c r="C76" s="12"/>
      <c r="D76" s="12" t="str">
        <f t="shared" si="6"/>
        <v/>
      </c>
      <c r="E76" s="12"/>
      <c r="F76" s="12"/>
      <c r="G76" s="12"/>
      <c r="H76" s="12" t="str">
        <f t="shared" si="7"/>
        <v/>
      </c>
      <c r="I76" s="12"/>
      <c r="J76" s="12"/>
      <c r="K76" s="12"/>
      <c r="L76" s="12"/>
      <c r="M76" s="12" t="str">
        <f t="shared" si="8"/>
        <v/>
      </c>
      <c r="N76" s="12"/>
      <c r="O76" s="12"/>
      <c r="P76" s="12"/>
      <c r="Q76" s="12" t="str">
        <f t="shared" si="9"/>
        <v/>
      </c>
      <c r="R76" s="12"/>
      <c r="S76" s="12"/>
      <c r="T76" s="12"/>
      <c r="U76" s="12"/>
      <c r="V76" s="12"/>
      <c r="W76" s="12"/>
      <c r="X76" s="12"/>
      <c r="Y76" s="12"/>
      <c r="Z76" s="12"/>
    </row>
    <row r="77" spans="1:26" x14ac:dyDescent="0.3">
      <c r="A77" s="6" t="s">
        <v>533</v>
      </c>
      <c r="B77" s="12"/>
      <c r="C77" s="12"/>
      <c r="D77" s="12" t="str">
        <f t="shared" si="6"/>
        <v/>
      </c>
      <c r="E77" s="12"/>
      <c r="F77" s="12"/>
      <c r="G77" s="12"/>
      <c r="H77" s="12" t="str">
        <f t="shared" si="7"/>
        <v/>
      </c>
      <c r="I77" s="12"/>
      <c r="J77" s="12"/>
      <c r="K77" s="12"/>
      <c r="L77" s="12"/>
      <c r="M77" s="12" t="str">
        <f t="shared" si="8"/>
        <v/>
      </c>
      <c r="N77" s="12"/>
      <c r="O77" s="12"/>
      <c r="P77" s="12"/>
      <c r="Q77" s="12" t="str">
        <f t="shared" si="9"/>
        <v/>
      </c>
      <c r="R77" s="12"/>
      <c r="S77" s="12"/>
      <c r="T77" s="12"/>
      <c r="U77" s="12"/>
      <c r="V77" s="12"/>
      <c r="W77" s="12"/>
      <c r="X77" s="12"/>
      <c r="Y77" s="12"/>
      <c r="Z77" s="12"/>
    </row>
    <row r="78" spans="1:26" x14ac:dyDescent="0.3">
      <c r="A78" s="6" t="s">
        <v>534</v>
      </c>
      <c r="B78" s="12"/>
      <c r="C78" s="12"/>
      <c r="D78" s="12" t="str">
        <f t="shared" si="6"/>
        <v/>
      </c>
      <c r="E78" s="12"/>
      <c r="F78" s="12"/>
      <c r="G78" s="12"/>
      <c r="H78" s="12" t="str">
        <f t="shared" si="7"/>
        <v/>
      </c>
      <c r="I78" s="12"/>
      <c r="J78" s="12"/>
      <c r="K78" s="12"/>
      <c r="L78" s="12"/>
      <c r="M78" s="12" t="str">
        <f t="shared" si="8"/>
        <v/>
      </c>
      <c r="N78" s="12"/>
      <c r="O78" s="12"/>
      <c r="P78" s="12"/>
      <c r="Q78" s="12" t="str">
        <f t="shared" si="9"/>
        <v/>
      </c>
      <c r="R78" s="12"/>
      <c r="S78" s="12"/>
      <c r="T78" s="12"/>
      <c r="U78" s="12"/>
      <c r="V78" s="12"/>
      <c r="W78" s="12"/>
      <c r="X78" s="12"/>
      <c r="Y78" s="12"/>
      <c r="Z78" s="12"/>
    </row>
    <row r="79" spans="1:26" x14ac:dyDescent="0.3">
      <c r="A79" s="6" t="s">
        <v>535</v>
      </c>
      <c r="B79" s="12"/>
      <c r="C79" s="12"/>
      <c r="D79" s="12" t="str">
        <f t="shared" si="6"/>
        <v/>
      </c>
      <c r="E79" s="12"/>
      <c r="F79" s="12"/>
      <c r="G79" s="12"/>
      <c r="H79" s="12" t="str">
        <f t="shared" si="7"/>
        <v/>
      </c>
      <c r="I79" s="12"/>
      <c r="J79" s="12"/>
      <c r="K79" s="12"/>
      <c r="L79" s="12"/>
      <c r="M79" s="12" t="str">
        <f t="shared" si="8"/>
        <v/>
      </c>
      <c r="N79" s="12"/>
      <c r="O79" s="12"/>
      <c r="P79" s="12"/>
      <c r="Q79" s="12" t="str">
        <f t="shared" si="9"/>
        <v/>
      </c>
      <c r="R79" s="12"/>
      <c r="S79" s="12"/>
      <c r="T79" s="12"/>
      <c r="U79" s="12"/>
      <c r="V79" s="12"/>
      <c r="W79" s="12"/>
      <c r="X79" s="12"/>
      <c r="Y79" s="12"/>
      <c r="Z79" s="12"/>
    </row>
    <row r="80" spans="1:26" x14ac:dyDescent="0.3">
      <c r="A80" s="6" t="s">
        <v>536</v>
      </c>
      <c r="B80" s="12"/>
      <c r="C80" s="12"/>
      <c r="D80" s="12" t="str">
        <f t="shared" si="6"/>
        <v/>
      </c>
      <c r="E80" s="12"/>
      <c r="F80" s="12"/>
      <c r="G80" s="12"/>
      <c r="H80" s="12" t="str">
        <f t="shared" si="7"/>
        <v/>
      </c>
      <c r="I80" s="12"/>
      <c r="J80" s="12"/>
      <c r="K80" s="12"/>
      <c r="L80" s="12"/>
      <c r="M80" s="12" t="str">
        <f t="shared" si="8"/>
        <v/>
      </c>
      <c r="N80" s="12"/>
      <c r="O80" s="12"/>
      <c r="P80" s="12"/>
      <c r="Q80" s="12" t="str">
        <f t="shared" si="9"/>
        <v/>
      </c>
      <c r="R80" s="12"/>
      <c r="S80" s="12"/>
      <c r="T80" s="12"/>
      <c r="U80" s="12"/>
      <c r="V80" s="12"/>
      <c r="W80" s="12"/>
      <c r="X80" s="12"/>
      <c r="Y80" s="12"/>
      <c r="Z80" s="12"/>
    </row>
    <row r="81" spans="1:26" x14ac:dyDescent="0.3">
      <c r="A81" s="6" t="s">
        <v>537</v>
      </c>
      <c r="B81" s="12"/>
      <c r="C81" s="12"/>
      <c r="D81" s="12" t="str">
        <f t="shared" si="6"/>
        <v/>
      </c>
      <c r="E81" s="12"/>
      <c r="F81" s="12"/>
      <c r="G81" s="12"/>
      <c r="H81" s="12" t="str">
        <f t="shared" si="7"/>
        <v/>
      </c>
      <c r="I81" s="12"/>
      <c r="J81" s="12"/>
      <c r="K81" s="12"/>
      <c r="L81" s="12"/>
      <c r="M81" s="12" t="str">
        <f t="shared" si="8"/>
        <v/>
      </c>
      <c r="N81" s="12"/>
      <c r="O81" s="12"/>
      <c r="P81" s="12"/>
      <c r="Q81" s="12" t="str">
        <f t="shared" si="9"/>
        <v/>
      </c>
      <c r="R81" s="12"/>
      <c r="S81" s="12"/>
      <c r="T81" s="12"/>
      <c r="U81" s="12"/>
      <c r="V81" s="12"/>
      <c r="W81" s="12"/>
      <c r="X81" s="12"/>
      <c r="Y81" s="12"/>
      <c r="Z81" s="12"/>
    </row>
    <row r="82" spans="1:26" x14ac:dyDescent="0.3">
      <c r="A82" s="6" t="s">
        <v>53</v>
      </c>
      <c r="B82" s="12"/>
      <c r="C82" s="12"/>
      <c r="D82" s="12" t="str">
        <f t="shared" si="6"/>
        <v/>
      </c>
      <c r="E82" s="12"/>
      <c r="F82" s="12"/>
      <c r="G82" s="12"/>
      <c r="H82" s="12" t="str">
        <f t="shared" si="7"/>
        <v/>
      </c>
      <c r="I82" s="12"/>
      <c r="J82" s="12"/>
      <c r="K82" s="12"/>
      <c r="L82" s="12"/>
      <c r="M82" s="12" t="str">
        <f t="shared" si="8"/>
        <v/>
      </c>
      <c r="N82" s="12"/>
      <c r="O82" s="12"/>
      <c r="P82" s="12"/>
      <c r="Q82" s="12" t="str">
        <f t="shared" si="9"/>
        <v/>
      </c>
      <c r="R82" s="12"/>
      <c r="S82" s="12"/>
      <c r="T82" s="12"/>
      <c r="U82" s="12"/>
      <c r="V82" s="12"/>
      <c r="W82" s="12"/>
      <c r="X82" s="12"/>
      <c r="Y82" s="12"/>
      <c r="Z82" s="12"/>
    </row>
    <row r="83" spans="1:26" x14ac:dyDescent="0.3">
      <c r="A83" s="6" t="s">
        <v>663</v>
      </c>
      <c r="B83" s="12"/>
      <c r="C83" s="12"/>
      <c r="D83" s="12" t="str">
        <f t="shared" si="6"/>
        <v/>
      </c>
      <c r="E83" s="12"/>
      <c r="F83" s="12"/>
      <c r="G83" s="12"/>
      <c r="H83" s="12" t="str">
        <f t="shared" si="7"/>
        <v/>
      </c>
      <c r="I83" s="12"/>
      <c r="J83" s="12"/>
      <c r="K83" s="12"/>
      <c r="L83" s="12"/>
      <c r="M83" s="12" t="str">
        <f t="shared" si="8"/>
        <v/>
      </c>
      <c r="N83" s="12"/>
      <c r="O83" s="12"/>
      <c r="P83" s="12"/>
      <c r="Q83" s="12" t="str">
        <f t="shared" si="9"/>
        <v/>
      </c>
      <c r="R83" s="12"/>
      <c r="S83" s="12"/>
      <c r="T83" s="12"/>
      <c r="U83" s="12"/>
      <c r="V83" s="12"/>
      <c r="W83" s="12"/>
      <c r="X83" s="12"/>
      <c r="Y83" s="12"/>
      <c r="Z83" s="12"/>
    </row>
    <row r="84" spans="1:26" x14ac:dyDescent="0.3">
      <c r="A84" s="6" t="s">
        <v>538</v>
      </c>
      <c r="B84" s="12"/>
      <c r="C84" s="12"/>
      <c r="D84" s="12" t="str">
        <f t="shared" si="6"/>
        <v/>
      </c>
      <c r="E84" s="12"/>
      <c r="F84" s="12"/>
      <c r="G84" s="12"/>
      <c r="H84" s="12" t="str">
        <f t="shared" si="7"/>
        <v/>
      </c>
      <c r="I84" s="12"/>
      <c r="J84" s="12"/>
      <c r="K84" s="12"/>
      <c r="L84" s="12"/>
      <c r="M84" s="12" t="str">
        <f t="shared" si="8"/>
        <v/>
      </c>
      <c r="N84" s="12"/>
      <c r="O84" s="12"/>
      <c r="P84" s="12"/>
      <c r="Q84" s="12" t="str">
        <f t="shared" si="9"/>
        <v/>
      </c>
      <c r="R84" s="12"/>
      <c r="S84" s="12"/>
      <c r="T84" s="12"/>
      <c r="U84" s="12"/>
      <c r="V84" s="12"/>
      <c r="W84" s="12"/>
      <c r="X84" s="12"/>
      <c r="Y84" s="12"/>
      <c r="Z84" s="12"/>
    </row>
    <row r="85" spans="1:26" x14ac:dyDescent="0.3">
      <c r="A85" s="6" t="s">
        <v>539</v>
      </c>
      <c r="B85" s="12"/>
      <c r="C85" s="12"/>
      <c r="D85" s="12" t="str">
        <f t="shared" si="6"/>
        <v/>
      </c>
      <c r="E85" s="12"/>
      <c r="F85" s="12"/>
      <c r="G85" s="12"/>
      <c r="H85" s="12" t="str">
        <f t="shared" si="7"/>
        <v/>
      </c>
      <c r="I85" s="12"/>
      <c r="J85" s="12"/>
      <c r="K85" s="12"/>
      <c r="L85" s="12"/>
      <c r="M85" s="12" t="str">
        <f t="shared" si="8"/>
        <v/>
      </c>
      <c r="N85" s="12"/>
      <c r="O85" s="12"/>
      <c r="P85" s="12"/>
      <c r="Q85" s="12" t="str">
        <f t="shared" si="9"/>
        <v/>
      </c>
      <c r="R85" s="12"/>
      <c r="S85" s="12"/>
      <c r="T85" s="12"/>
      <c r="U85" s="12"/>
      <c r="V85" s="12"/>
      <c r="W85" s="12"/>
      <c r="X85" s="12"/>
      <c r="Y85" s="12"/>
      <c r="Z85" s="12"/>
    </row>
    <row r="86" spans="1:26" x14ac:dyDescent="0.3">
      <c r="A86" s="6" t="s">
        <v>540</v>
      </c>
      <c r="B86" s="12"/>
      <c r="C86" s="12"/>
      <c r="D86" s="12" t="str">
        <f t="shared" si="6"/>
        <v/>
      </c>
      <c r="E86" s="12"/>
      <c r="F86" s="12"/>
      <c r="G86" s="12"/>
      <c r="H86" s="12" t="str">
        <f t="shared" si="7"/>
        <v/>
      </c>
      <c r="I86" s="12"/>
      <c r="J86" s="12"/>
      <c r="K86" s="12"/>
      <c r="L86" s="12"/>
      <c r="M86" s="12" t="str">
        <f t="shared" si="8"/>
        <v/>
      </c>
      <c r="N86" s="12"/>
      <c r="O86" s="12"/>
      <c r="P86" s="12"/>
      <c r="Q86" s="12" t="str">
        <f t="shared" si="9"/>
        <v/>
      </c>
      <c r="R86" s="12"/>
      <c r="S86" s="12"/>
      <c r="T86" s="12"/>
      <c r="U86" s="12"/>
      <c r="V86" s="12"/>
      <c r="W86" s="12"/>
      <c r="X86" s="12"/>
      <c r="Y86" s="12"/>
      <c r="Z86" s="12"/>
    </row>
    <row r="87" spans="1:26" x14ac:dyDescent="0.3">
      <c r="A87" s="6" t="s">
        <v>541</v>
      </c>
      <c r="B87" s="12"/>
      <c r="C87" s="12"/>
      <c r="D87" s="12" t="str">
        <f t="shared" si="6"/>
        <v/>
      </c>
      <c r="E87" s="12"/>
      <c r="F87" s="12"/>
      <c r="G87" s="12"/>
      <c r="H87" s="12" t="str">
        <f t="shared" si="7"/>
        <v/>
      </c>
      <c r="I87" s="12"/>
      <c r="J87" s="12"/>
      <c r="K87" s="12"/>
      <c r="L87" s="12"/>
      <c r="M87" s="12" t="str">
        <f t="shared" si="8"/>
        <v/>
      </c>
      <c r="N87" s="12"/>
      <c r="O87" s="12"/>
      <c r="P87" s="12"/>
      <c r="Q87" s="12" t="str">
        <f t="shared" si="9"/>
        <v/>
      </c>
      <c r="R87" s="12"/>
      <c r="S87" s="12"/>
      <c r="T87" s="12"/>
      <c r="U87" s="12"/>
      <c r="V87" s="12"/>
      <c r="W87" s="12"/>
      <c r="X87" s="12"/>
      <c r="Y87" s="12"/>
      <c r="Z87" s="12"/>
    </row>
    <row r="88" spans="1:26" x14ac:dyDescent="0.3">
      <c r="A88" s="6" t="s">
        <v>542</v>
      </c>
      <c r="B88" s="12"/>
      <c r="C88" s="12"/>
      <c r="D88" s="12" t="str">
        <f t="shared" si="6"/>
        <v/>
      </c>
      <c r="E88" s="12"/>
      <c r="F88" s="12"/>
      <c r="G88" s="12"/>
      <c r="H88" s="12" t="str">
        <f t="shared" si="7"/>
        <v/>
      </c>
      <c r="I88" s="12"/>
      <c r="J88" s="12"/>
      <c r="K88" s="12"/>
      <c r="L88" s="12"/>
      <c r="M88" s="12" t="str">
        <f t="shared" si="8"/>
        <v/>
      </c>
      <c r="N88" s="12"/>
      <c r="O88" s="12"/>
      <c r="P88" s="12"/>
      <c r="Q88" s="12" t="str">
        <f t="shared" si="9"/>
        <v/>
      </c>
      <c r="R88" s="12"/>
      <c r="S88" s="12"/>
      <c r="T88" s="12"/>
      <c r="U88" s="12"/>
      <c r="V88" s="12"/>
      <c r="W88" s="12"/>
      <c r="X88" s="12"/>
      <c r="Y88" s="12"/>
      <c r="Z88" s="12"/>
    </row>
    <row r="89" spans="1:26" x14ac:dyDescent="0.3">
      <c r="A89" s="6" t="s">
        <v>543</v>
      </c>
      <c r="B89" s="12"/>
      <c r="C89" s="12"/>
      <c r="D89" s="12" t="str">
        <f t="shared" si="6"/>
        <v/>
      </c>
      <c r="E89" s="12"/>
      <c r="F89" s="12"/>
      <c r="G89" s="12"/>
      <c r="H89" s="12" t="str">
        <f t="shared" si="7"/>
        <v/>
      </c>
      <c r="I89" s="12"/>
      <c r="J89" s="12"/>
      <c r="K89" s="12"/>
      <c r="L89" s="12"/>
      <c r="M89" s="12" t="str">
        <f t="shared" si="8"/>
        <v/>
      </c>
      <c r="N89" s="12"/>
      <c r="O89" s="12"/>
      <c r="P89" s="12"/>
      <c r="Q89" s="12" t="str">
        <f t="shared" si="9"/>
        <v/>
      </c>
      <c r="R89" s="12"/>
      <c r="S89" s="12"/>
      <c r="T89" s="12"/>
      <c r="U89" s="12"/>
      <c r="V89" s="12"/>
      <c r="W89" s="12"/>
      <c r="X89" s="12"/>
      <c r="Y89" s="12"/>
      <c r="Z89" s="12"/>
    </row>
    <row r="90" spans="1:26" x14ac:dyDescent="0.3">
      <c r="A90" s="6" t="s">
        <v>229</v>
      </c>
      <c r="B90" s="12"/>
      <c r="C90" s="12"/>
      <c r="D90" s="12" t="str">
        <f t="shared" si="6"/>
        <v/>
      </c>
      <c r="E90" s="12"/>
      <c r="F90" s="12"/>
      <c r="G90" s="12"/>
      <c r="H90" s="12" t="str">
        <f t="shared" si="7"/>
        <v/>
      </c>
      <c r="I90" s="12"/>
      <c r="J90" s="12"/>
      <c r="K90" s="12"/>
      <c r="L90" s="12"/>
      <c r="M90" s="12" t="str">
        <f t="shared" si="8"/>
        <v/>
      </c>
      <c r="N90" s="12"/>
      <c r="O90" s="12"/>
      <c r="P90" s="12"/>
      <c r="Q90" s="12" t="str">
        <f t="shared" si="9"/>
        <v/>
      </c>
      <c r="R90" s="12"/>
      <c r="S90" s="12"/>
      <c r="T90" s="12"/>
      <c r="U90" s="12"/>
      <c r="V90" s="12"/>
      <c r="W90" s="12"/>
      <c r="X90" s="12"/>
      <c r="Y90" s="12"/>
      <c r="Z90" s="12"/>
    </row>
    <row r="91" spans="1:26" x14ac:dyDescent="0.3">
      <c r="A91" s="6" t="s">
        <v>544</v>
      </c>
      <c r="B91" s="12"/>
      <c r="C91" s="12"/>
      <c r="D91" s="12" t="str">
        <f t="shared" si="6"/>
        <v/>
      </c>
      <c r="E91" s="12"/>
      <c r="F91" s="12"/>
      <c r="G91" s="12"/>
      <c r="H91" s="12" t="str">
        <f t="shared" si="7"/>
        <v/>
      </c>
      <c r="I91" s="12"/>
      <c r="J91" s="12"/>
      <c r="K91" s="12"/>
      <c r="L91" s="12"/>
      <c r="M91" s="12" t="str">
        <f t="shared" si="8"/>
        <v/>
      </c>
      <c r="N91" s="12"/>
      <c r="O91" s="12"/>
      <c r="P91" s="12"/>
      <c r="Q91" s="12" t="str">
        <f t="shared" si="9"/>
        <v/>
      </c>
      <c r="R91" s="12"/>
      <c r="S91" s="12"/>
      <c r="T91" s="12"/>
      <c r="U91" s="12"/>
      <c r="V91" s="12"/>
      <c r="W91" s="12"/>
      <c r="X91" s="12"/>
      <c r="Y91" s="12"/>
      <c r="Z91" s="12"/>
    </row>
    <row r="92" spans="1:26" x14ac:dyDescent="0.3">
      <c r="A92" s="6" t="s">
        <v>553</v>
      </c>
      <c r="B92" s="12"/>
      <c r="C92" s="12"/>
      <c r="D92" s="12" t="str">
        <f t="shared" si="6"/>
        <v/>
      </c>
      <c r="E92" s="12"/>
      <c r="F92" s="12"/>
      <c r="G92" s="12"/>
      <c r="H92" s="12" t="str">
        <f t="shared" si="7"/>
        <v/>
      </c>
      <c r="I92" s="12"/>
      <c r="J92" s="12"/>
      <c r="K92" s="12"/>
      <c r="L92" s="12"/>
      <c r="M92" s="12" t="str">
        <f t="shared" si="8"/>
        <v/>
      </c>
      <c r="N92" s="12"/>
      <c r="O92" s="12"/>
      <c r="P92" s="12"/>
      <c r="Q92" s="12" t="str">
        <f t="shared" si="9"/>
        <v/>
      </c>
      <c r="R92" s="12"/>
      <c r="S92" s="12"/>
      <c r="T92" s="12"/>
      <c r="U92" s="12"/>
      <c r="V92" s="12"/>
      <c r="W92" s="12"/>
      <c r="X92" s="12"/>
      <c r="Y92" s="12"/>
      <c r="Z92" s="12"/>
    </row>
    <row r="93" spans="1:26" x14ac:dyDescent="0.3">
      <c r="A93" s="6" t="s">
        <v>382</v>
      </c>
      <c r="B93" s="12"/>
      <c r="C93" s="12"/>
      <c r="D93" s="12" t="str">
        <f t="shared" si="6"/>
        <v/>
      </c>
      <c r="E93" s="12"/>
      <c r="F93" s="12"/>
      <c r="G93" s="12"/>
      <c r="H93" s="12" t="str">
        <f t="shared" si="7"/>
        <v/>
      </c>
      <c r="I93" s="12"/>
      <c r="J93" s="12"/>
      <c r="K93" s="12"/>
      <c r="L93" s="12"/>
      <c r="M93" s="12" t="str">
        <f t="shared" si="8"/>
        <v/>
      </c>
      <c r="N93" s="12"/>
      <c r="O93" s="12"/>
      <c r="P93" s="12"/>
      <c r="Q93" s="12" t="str">
        <f t="shared" si="9"/>
        <v/>
      </c>
      <c r="R93" s="12"/>
      <c r="S93" s="12"/>
      <c r="T93" s="12"/>
      <c r="U93" s="12"/>
      <c r="V93" s="12"/>
      <c r="W93" s="12"/>
      <c r="X93" s="12"/>
      <c r="Y93" s="12"/>
      <c r="Z93" s="12"/>
    </row>
    <row r="94" spans="1:26" x14ac:dyDescent="0.3">
      <c r="A94" s="6" t="s">
        <v>554</v>
      </c>
      <c r="B94" s="12"/>
      <c r="C94" s="12"/>
      <c r="D94" s="12" t="str">
        <f t="shared" si="6"/>
        <v/>
      </c>
      <c r="E94" s="12"/>
      <c r="F94" s="12"/>
      <c r="G94" s="12"/>
      <c r="H94" s="12" t="str">
        <f t="shared" si="7"/>
        <v/>
      </c>
      <c r="I94" s="12"/>
      <c r="J94" s="12"/>
      <c r="K94" s="12"/>
      <c r="L94" s="12"/>
      <c r="M94" s="12" t="str">
        <f t="shared" si="8"/>
        <v/>
      </c>
      <c r="N94" s="12"/>
      <c r="O94" s="12"/>
      <c r="P94" s="12"/>
      <c r="Q94" s="12" t="str">
        <f t="shared" si="9"/>
        <v/>
      </c>
      <c r="R94" s="12"/>
      <c r="S94" s="12"/>
      <c r="T94" s="12"/>
      <c r="U94" s="12"/>
      <c r="V94" s="12"/>
      <c r="W94" s="12"/>
      <c r="X94" s="12"/>
      <c r="Y94" s="12"/>
      <c r="Z94" s="12"/>
    </row>
    <row r="95" spans="1:26" x14ac:dyDescent="0.3">
      <c r="A95" s="6" t="s">
        <v>307</v>
      </c>
      <c r="B95" s="12"/>
      <c r="C95" s="12"/>
      <c r="D95" s="12" t="str">
        <f t="shared" si="6"/>
        <v/>
      </c>
      <c r="E95" s="12"/>
      <c r="F95" s="12"/>
      <c r="G95" s="12"/>
      <c r="H95" s="12" t="str">
        <f t="shared" si="7"/>
        <v/>
      </c>
      <c r="I95" s="12"/>
      <c r="J95" s="12"/>
      <c r="K95" s="12"/>
      <c r="L95" s="12"/>
      <c r="M95" s="12" t="str">
        <f t="shared" si="8"/>
        <v/>
      </c>
      <c r="N95" s="12"/>
      <c r="O95" s="12"/>
      <c r="P95" s="12"/>
      <c r="Q95" s="12" t="str">
        <f t="shared" si="9"/>
        <v/>
      </c>
      <c r="R95" s="12"/>
      <c r="S95" s="12"/>
      <c r="T95" s="12"/>
      <c r="U95" s="12"/>
      <c r="V95" s="12"/>
      <c r="W95" s="12"/>
      <c r="X95" s="12"/>
      <c r="Y95" s="12"/>
      <c r="Z95" s="12"/>
    </row>
    <row r="96" spans="1:26" x14ac:dyDescent="0.3">
      <c r="A96" s="6" t="s">
        <v>61</v>
      </c>
      <c r="B96" s="12"/>
      <c r="C96" s="12"/>
      <c r="D96" s="12" t="str">
        <f t="shared" si="6"/>
        <v/>
      </c>
      <c r="E96" s="12"/>
      <c r="F96" s="12"/>
      <c r="G96" s="12"/>
      <c r="H96" s="12" t="str">
        <f t="shared" si="7"/>
        <v/>
      </c>
      <c r="I96" s="12"/>
      <c r="J96" s="12"/>
      <c r="K96" s="12"/>
      <c r="L96" s="12"/>
      <c r="M96" s="12" t="str">
        <f t="shared" si="8"/>
        <v/>
      </c>
      <c r="N96" s="12"/>
      <c r="O96" s="12"/>
      <c r="P96" s="12"/>
      <c r="Q96" s="12" t="str">
        <f t="shared" si="9"/>
        <v/>
      </c>
      <c r="R96" s="12"/>
      <c r="S96" s="12"/>
      <c r="T96" s="12"/>
      <c r="U96" s="12"/>
      <c r="V96" s="12"/>
      <c r="W96" s="12"/>
      <c r="X96" s="12"/>
      <c r="Y96" s="12"/>
      <c r="Z96" s="12"/>
    </row>
    <row r="97" spans="1:26" x14ac:dyDescent="0.3">
      <c r="A97" s="6" t="s">
        <v>555</v>
      </c>
      <c r="B97" s="12"/>
      <c r="C97" s="12"/>
      <c r="D97" s="12" t="str">
        <f t="shared" si="6"/>
        <v/>
      </c>
      <c r="E97" s="12"/>
      <c r="F97" s="12"/>
      <c r="G97" s="12"/>
      <c r="H97" s="12" t="str">
        <f t="shared" si="7"/>
        <v/>
      </c>
      <c r="I97" s="12"/>
      <c r="J97" s="12"/>
      <c r="K97" s="12"/>
      <c r="L97" s="12"/>
      <c r="M97" s="12" t="str">
        <f t="shared" si="8"/>
        <v/>
      </c>
      <c r="N97" s="12"/>
      <c r="O97" s="12"/>
      <c r="P97" s="12"/>
      <c r="Q97" s="12" t="str">
        <f t="shared" si="9"/>
        <v/>
      </c>
      <c r="R97" s="12"/>
      <c r="S97" s="12"/>
      <c r="T97" s="12"/>
      <c r="U97" s="12"/>
      <c r="V97" s="12"/>
      <c r="W97" s="12"/>
      <c r="X97" s="12"/>
      <c r="Y97" s="12"/>
      <c r="Z97" s="12"/>
    </row>
    <row r="98" spans="1:26" x14ac:dyDescent="0.3">
      <c r="A98" s="6" t="s">
        <v>556</v>
      </c>
      <c r="B98" s="12"/>
      <c r="C98" s="12"/>
      <c r="D98" s="12" t="str">
        <f t="shared" si="6"/>
        <v/>
      </c>
      <c r="E98" s="12"/>
      <c r="F98" s="12"/>
      <c r="G98" s="12"/>
      <c r="H98" s="12" t="str">
        <f t="shared" si="7"/>
        <v/>
      </c>
      <c r="I98" s="12"/>
      <c r="J98" s="12"/>
      <c r="K98" s="12"/>
      <c r="L98" s="12"/>
      <c r="M98" s="12" t="str">
        <f t="shared" si="8"/>
        <v/>
      </c>
      <c r="N98" s="12"/>
      <c r="O98" s="12"/>
      <c r="P98" s="12"/>
      <c r="Q98" s="12" t="str">
        <f t="shared" si="9"/>
        <v/>
      </c>
      <c r="R98" s="12"/>
      <c r="S98" s="12"/>
      <c r="T98" s="12"/>
      <c r="U98" s="12"/>
      <c r="V98" s="12"/>
      <c r="W98" s="12"/>
      <c r="X98" s="12"/>
      <c r="Y98" s="12"/>
      <c r="Z98" s="12"/>
    </row>
    <row r="99" spans="1:26" x14ac:dyDescent="0.3">
      <c r="A99" s="6" t="s">
        <v>45</v>
      </c>
      <c r="B99" s="12"/>
      <c r="C99" s="12"/>
      <c r="D99" s="12" t="str">
        <f t="shared" si="6"/>
        <v/>
      </c>
      <c r="E99" s="12"/>
      <c r="F99" s="12"/>
      <c r="G99" s="12"/>
      <c r="H99" s="12" t="str">
        <f t="shared" si="7"/>
        <v/>
      </c>
      <c r="I99" s="12"/>
      <c r="J99" s="12"/>
      <c r="K99" s="12"/>
      <c r="L99" s="12"/>
      <c r="M99" s="12" t="str">
        <f t="shared" si="8"/>
        <v/>
      </c>
      <c r="N99" s="12"/>
      <c r="O99" s="12"/>
      <c r="P99" s="12"/>
      <c r="Q99" s="12" t="str">
        <f t="shared" si="9"/>
        <v/>
      </c>
      <c r="R99" s="12"/>
      <c r="S99" s="12"/>
      <c r="T99" s="12"/>
      <c r="U99" s="12"/>
      <c r="V99" s="12"/>
      <c r="W99" s="12"/>
      <c r="X99" s="12"/>
      <c r="Y99" s="12"/>
      <c r="Z99" s="12"/>
    </row>
    <row r="100" spans="1:26" x14ac:dyDescent="0.3">
      <c r="A100" s="6" t="s">
        <v>557</v>
      </c>
      <c r="B100" s="12"/>
      <c r="C100" s="12"/>
      <c r="D100" s="12" t="str">
        <f t="shared" si="6"/>
        <v/>
      </c>
      <c r="E100" s="12"/>
      <c r="F100" s="12"/>
      <c r="G100" s="12"/>
      <c r="H100" s="12" t="str">
        <f t="shared" si="7"/>
        <v/>
      </c>
      <c r="I100" s="12"/>
      <c r="J100" s="12"/>
      <c r="K100" s="12"/>
      <c r="L100" s="12"/>
      <c r="M100" s="12" t="str">
        <f t="shared" si="8"/>
        <v/>
      </c>
      <c r="N100" s="12"/>
      <c r="O100" s="12"/>
      <c r="P100" s="12"/>
      <c r="Q100" s="12" t="str">
        <f t="shared" si="9"/>
        <v/>
      </c>
      <c r="R100" s="12"/>
      <c r="S100" s="12"/>
      <c r="T100" s="12"/>
      <c r="U100" s="12"/>
      <c r="V100" s="12"/>
      <c r="W100" s="12"/>
      <c r="X100" s="12"/>
      <c r="Y100" s="12"/>
      <c r="Z100" s="12"/>
    </row>
    <row r="101" spans="1:26" x14ac:dyDescent="0.3">
      <c r="A101" s="6" t="s">
        <v>558</v>
      </c>
      <c r="B101" s="12"/>
      <c r="C101" s="12"/>
      <c r="D101" s="12" t="str">
        <f t="shared" si="6"/>
        <v/>
      </c>
      <c r="E101" s="12"/>
      <c r="F101" s="12"/>
      <c r="G101" s="12"/>
      <c r="H101" s="12" t="str">
        <f t="shared" si="7"/>
        <v/>
      </c>
      <c r="I101" s="12"/>
      <c r="J101" s="12"/>
      <c r="K101" s="12"/>
      <c r="L101" s="12"/>
      <c r="M101" s="12" t="str">
        <f t="shared" si="8"/>
        <v/>
      </c>
      <c r="N101" s="12"/>
      <c r="O101" s="12"/>
      <c r="P101" s="12"/>
      <c r="Q101" s="12" t="str">
        <f t="shared" si="9"/>
        <v/>
      </c>
      <c r="R101" s="12"/>
      <c r="S101" s="12"/>
      <c r="T101" s="12"/>
      <c r="U101" s="12"/>
      <c r="V101" s="12"/>
      <c r="W101" s="12"/>
      <c r="X101" s="12"/>
      <c r="Y101" s="12"/>
      <c r="Z101" s="12"/>
    </row>
    <row r="102" spans="1:26" x14ac:dyDescent="0.3">
      <c r="A102" s="6" t="s">
        <v>559</v>
      </c>
      <c r="B102" s="12"/>
      <c r="C102" s="12"/>
      <c r="D102" s="12" t="str">
        <f t="shared" si="6"/>
        <v/>
      </c>
      <c r="E102" s="12"/>
      <c r="F102" s="12"/>
      <c r="G102" s="12"/>
      <c r="H102" s="12" t="str">
        <f t="shared" si="7"/>
        <v/>
      </c>
      <c r="I102" s="12"/>
      <c r="J102" s="12"/>
      <c r="K102" s="12"/>
      <c r="L102" s="12"/>
      <c r="M102" s="12" t="str">
        <f t="shared" si="8"/>
        <v/>
      </c>
      <c r="N102" s="12"/>
      <c r="O102" s="12"/>
      <c r="P102" s="12"/>
      <c r="Q102" s="12" t="str">
        <f t="shared" si="9"/>
        <v/>
      </c>
      <c r="R102" s="12"/>
      <c r="S102" s="12"/>
      <c r="T102" s="12"/>
      <c r="U102" s="12"/>
      <c r="V102" s="12"/>
      <c r="W102" s="12"/>
      <c r="X102" s="12"/>
      <c r="Y102" s="12"/>
      <c r="Z102" s="12"/>
    </row>
    <row r="103" spans="1:26" x14ac:dyDescent="0.3">
      <c r="A103" s="6" t="s">
        <v>560</v>
      </c>
      <c r="B103" s="12"/>
      <c r="C103" s="12"/>
      <c r="D103" s="12" t="str">
        <f t="shared" si="6"/>
        <v/>
      </c>
      <c r="E103" s="12"/>
      <c r="F103" s="12"/>
      <c r="G103" s="12"/>
      <c r="H103" s="12" t="str">
        <f t="shared" si="7"/>
        <v/>
      </c>
      <c r="I103" s="12"/>
      <c r="J103" s="12"/>
      <c r="K103" s="12"/>
      <c r="L103" s="12"/>
      <c r="M103" s="12" t="str">
        <f t="shared" si="8"/>
        <v/>
      </c>
      <c r="N103" s="12"/>
      <c r="O103" s="12"/>
      <c r="P103" s="12"/>
      <c r="Q103" s="12" t="str">
        <f t="shared" si="9"/>
        <v/>
      </c>
      <c r="R103" s="12"/>
      <c r="S103" s="12"/>
      <c r="T103" s="12"/>
      <c r="U103" s="12"/>
      <c r="V103" s="12"/>
      <c r="W103" s="12"/>
      <c r="X103" s="12"/>
      <c r="Y103" s="12"/>
      <c r="Z103" s="12"/>
    </row>
    <row r="104" spans="1:26" x14ac:dyDescent="0.3">
      <c r="A104" s="6" t="s">
        <v>561</v>
      </c>
      <c r="B104" s="12"/>
      <c r="C104" s="12"/>
      <c r="D104" s="12" t="str">
        <f t="shared" si="6"/>
        <v/>
      </c>
      <c r="E104" s="12"/>
      <c r="F104" s="12"/>
      <c r="G104" s="12"/>
      <c r="H104" s="12" t="str">
        <f t="shared" si="7"/>
        <v/>
      </c>
      <c r="I104" s="12"/>
      <c r="J104" s="12"/>
      <c r="K104" s="12"/>
      <c r="L104" s="12"/>
      <c r="M104" s="12" t="str">
        <f t="shared" si="8"/>
        <v/>
      </c>
      <c r="N104" s="12"/>
      <c r="O104" s="12"/>
      <c r="P104" s="12"/>
      <c r="Q104" s="12" t="str">
        <f t="shared" si="9"/>
        <v/>
      </c>
      <c r="R104" s="12"/>
      <c r="S104" s="12"/>
      <c r="T104" s="12"/>
      <c r="U104" s="12"/>
      <c r="V104" s="12"/>
      <c r="W104" s="12"/>
      <c r="X104" s="12"/>
      <c r="Y104" s="12"/>
      <c r="Z104" s="12"/>
    </row>
    <row r="105" spans="1:26" x14ac:dyDescent="0.3">
      <c r="A105" s="6" t="s">
        <v>562</v>
      </c>
      <c r="B105" s="12"/>
      <c r="C105" s="12"/>
      <c r="D105" s="12" t="str">
        <f t="shared" si="6"/>
        <v/>
      </c>
      <c r="E105" s="12"/>
      <c r="F105" s="12"/>
      <c r="G105" s="12"/>
      <c r="H105" s="12" t="str">
        <f t="shared" si="7"/>
        <v/>
      </c>
      <c r="I105" s="12"/>
      <c r="J105" s="12"/>
      <c r="K105" s="12"/>
      <c r="L105" s="12"/>
      <c r="M105" s="12" t="str">
        <f t="shared" si="8"/>
        <v/>
      </c>
      <c r="N105" s="12"/>
      <c r="O105" s="12"/>
      <c r="P105" s="12"/>
      <c r="Q105" s="12" t="str">
        <f t="shared" si="9"/>
        <v/>
      </c>
      <c r="R105" s="12"/>
      <c r="S105" s="12"/>
      <c r="T105" s="12"/>
      <c r="U105" s="12"/>
      <c r="V105" s="12"/>
      <c r="W105" s="12"/>
      <c r="X105" s="12"/>
      <c r="Y105" s="12"/>
      <c r="Z105" s="12"/>
    </row>
    <row r="106" spans="1:26" x14ac:dyDescent="0.3">
      <c r="A106" s="6" t="s">
        <v>563</v>
      </c>
      <c r="B106" s="12"/>
      <c r="C106" s="12"/>
      <c r="D106" s="12" t="str">
        <f t="shared" si="6"/>
        <v/>
      </c>
      <c r="E106" s="12"/>
      <c r="F106" s="12"/>
      <c r="G106" s="12"/>
      <c r="H106" s="12" t="str">
        <f t="shared" si="7"/>
        <v/>
      </c>
      <c r="I106" s="12"/>
      <c r="J106" s="12"/>
      <c r="K106" s="12"/>
      <c r="L106" s="12"/>
      <c r="M106" s="12" t="str">
        <f t="shared" si="8"/>
        <v/>
      </c>
      <c r="N106" s="12"/>
      <c r="O106" s="12"/>
      <c r="P106" s="12"/>
      <c r="Q106" s="12" t="str">
        <f t="shared" si="9"/>
        <v/>
      </c>
      <c r="R106" s="12"/>
      <c r="S106" s="12"/>
      <c r="T106" s="12"/>
      <c r="U106" s="12"/>
      <c r="V106" s="12"/>
      <c r="W106" s="12"/>
      <c r="X106" s="12"/>
      <c r="Y106" s="12"/>
      <c r="Z106" s="12"/>
    </row>
    <row r="107" spans="1:26" x14ac:dyDescent="0.3">
      <c r="A107" s="6" t="s">
        <v>564</v>
      </c>
      <c r="B107" s="12"/>
      <c r="C107" s="12"/>
      <c r="D107" s="12" t="str">
        <f t="shared" si="6"/>
        <v/>
      </c>
      <c r="E107" s="12"/>
      <c r="F107" s="12"/>
      <c r="G107" s="12"/>
      <c r="H107" s="12" t="str">
        <f t="shared" si="7"/>
        <v/>
      </c>
      <c r="I107" s="12"/>
      <c r="J107" s="12"/>
      <c r="K107" s="12"/>
      <c r="L107" s="12"/>
      <c r="M107" s="12" t="str">
        <f t="shared" si="8"/>
        <v/>
      </c>
      <c r="N107" s="12"/>
      <c r="O107" s="12"/>
      <c r="P107" s="12"/>
      <c r="Q107" s="12" t="str">
        <f t="shared" si="9"/>
        <v/>
      </c>
      <c r="R107" s="12"/>
      <c r="S107" s="12"/>
      <c r="T107" s="12"/>
      <c r="U107" s="12"/>
      <c r="V107" s="12"/>
      <c r="W107" s="12"/>
      <c r="X107" s="12"/>
      <c r="Y107" s="12"/>
      <c r="Z107" s="12"/>
    </row>
    <row r="108" spans="1:26" x14ac:dyDescent="0.3">
      <c r="A108" s="6" t="s">
        <v>565</v>
      </c>
      <c r="B108" s="12"/>
      <c r="C108" s="12"/>
      <c r="D108" s="12" t="str">
        <f t="shared" si="6"/>
        <v/>
      </c>
      <c r="E108" s="12"/>
      <c r="F108" s="12"/>
      <c r="G108" s="12"/>
      <c r="H108" s="12" t="str">
        <f t="shared" si="7"/>
        <v/>
      </c>
      <c r="I108" s="12"/>
      <c r="J108" s="12"/>
      <c r="K108" s="12"/>
      <c r="L108" s="12"/>
      <c r="M108" s="12" t="str">
        <f t="shared" si="8"/>
        <v/>
      </c>
      <c r="N108" s="12"/>
      <c r="O108" s="12"/>
      <c r="P108" s="12"/>
      <c r="Q108" s="12" t="str">
        <f t="shared" si="9"/>
        <v/>
      </c>
      <c r="R108" s="12"/>
      <c r="S108" s="12"/>
      <c r="T108" s="12"/>
      <c r="U108" s="12"/>
      <c r="V108" s="12"/>
      <c r="W108" s="12"/>
      <c r="X108" s="12"/>
      <c r="Y108" s="12"/>
      <c r="Z108" s="12"/>
    </row>
    <row r="109" spans="1:26" x14ac:dyDescent="0.3">
      <c r="A109" s="6" t="s">
        <v>566</v>
      </c>
      <c r="B109" s="12"/>
      <c r="C109" s="12"/>
      <c r="D109" s="12" t="str">
        <f t="shared" si="6"/>
        <v/>
      </c>
      <c r="E109" s="12"/>
      <c r="F109" s="12"/>
      <c r="G109" s="12"/>
      <c r="H109" s="12" t="str">
        <f t="shared" si="7"/>
        <v/>
      </c>
      <c r="I109" s="12"/>
      <c r="J109" s="12"/>
      <c r="K109" s="12"/>
      <c r="L109" s="12"/>
      <c r="M109" s="12" t="str">
        <f t="shared" si="8"/>
        <v/>
      </c>
      <c r="N109" s="12"/>
      <c r="O109" s="12"/>
      <c r="P109" s="12"/>
      <c r="Q109" s="12" t="str">
        <f t="shared" si="9"/>
        <v/>
      </c>
      <c r="R109" s="12"/>
      <c r="S109" s="12"/>
      <c r="T109" s="12"/>
      <c r="U109" s="12"/>
      <c r="V109" s="12"/>
      <c r="W109" s="12"/>
      <c r="X109" s="12"/>
      <c r="Y109" s="12"/>
      <c r="Z109" s="12"/>
    </row>
    <row r="110" spans="1:26" x14ac:dyDescent="0.3">
      <c r="A110" s="6" t="s">
        <v>567</v>
      </c>
      <c r="B110" s="12"/>
      <c r="C110" s="12"/>
      <c r="D110" s="12" t="str">
        <f t="shared" si="6"/>
        <v/>
      </c>
      <c r="E110" s="12"/>
      <c r="F110" s="12"/>
      <c r="G110" s="12"/>
      <c r="H110" s="12" t="str">
        <f t="shared" si="7"/>
        <v/>
      </c>
      <c r="I110" s="12"/>
      <c r="J110" s="12"/>
      <c r="K110" s="12"/>
      <c r="L110" s="12"/>
      <c r="M110" s="12" t="str">
        <f t="shared" si="8"/>
        <v/>
      </c>
      <c r="N110" s="12"/>
      <c r="O110" s="12"/>
      <c r="P110" s="12"/>
      <c r="Q110" s="12" t="str">
        <f t="shared" si="9"/>
        <v/>
      </c>
      <c r="R110" s="12"/>
      <c r="S110" s="12"/>
      <c r="T110" s="12"/>
      <c r="U110" s="12"/>
      <c r="V110" s="12"/>
      <c r="W110" s="12"/>
      <c r="X110" s="12"/>
      <c r="Y110" s="12"/>
      <c r="Z110" s="12"/>
    </row>
    <row r="111" spans="1:26" x14ac:dyDescent="0.3">
      <c r="A111" s="6" t="s">
        <v>568</v>
      </c>
      <c r="B111" s="12"/>
      <c r="C111" s="12"/>
      <c r="D111" s="12" t="str">
        <f t="shared" si="6"/>
        <v/>
      </c>
      <c r="E111" s="12"/>
      <c r="F111" s="12"/>
      <c r="G111" s="12"/>
      <c r="H111" s="12" t="str">
        <f t="shared" si="7"/>
        <v/>
      </c>
      <c r="I111" s="12"/>
      <c r="J111" s="12"/>
      <c r="K111" s="12"/>
      <c r="L111" s="12"/>
      <c r="M111" s="12" t="str">
        <f t="shared" si="8"/>
        <v/>
      </c>
      <c r="N111" s="12"/>
      <c r="O111" s="12"/>
      <c r="P111" s="12"/>
      <c r="Q111" s="12" t="str">
        <f t="shared" si="9"/>
        <v/>
      </c>
      <c r="R111" s="12"/>
      <c r="S111" s="12"/>
      <c r="T111" s="12"/>
      <c r="U111" s="12"/>
      <c r="V111" s="12"/>
      <c r="W111" s="12"/>
      <c r="X111" s="12"/>
      <c r="Y111" s="12"/>
      <c r="Z111" s="12"/>
    </row>
    <row r="112" spans="1:26" x14ac:dyDescent="0.3">
      <c r="A112" s="6" t="s">
        <v>235</v>
      </c>
      <c r="B112" s="12"/>
      <c r="C112" s="12"/>
      <c r="D112" s="12" t="str">
        <f t="shared" si="6"/>
        <v/>
      </c>
      <c r="E112" s="12"/>
      <c r="F112" s="12"/>
      <c r="G112" s="12"/>
      <c r="H112" s="12" t="str">
        <f t="shared" si="7"/>
        <v/>
      </c>
      <c r="I112" s="12"/>
      <c r="J112" s="12"/>
      <c r="K112" s="12"/>
      <c r="L112" s="12"/>
      <c r="M112" s="12" t="str">
        <f t="shared" si="8"/>
        <v/>
      </c>
      <c r="N112" s="12"/>
      <c r="O112" s="12"/>
      <c r="P112" s="12"/>
      <c r="Q112" s="12" t="str">
        <f t="shared" si="9"/>
        <v/>
      </c>
      <c r="R112" s="12"/>
      <c r="S112" s="12"/>
      <c r="T112" s="12"/>
      <c r="U112" s="12"/>
      <c r="V112" s="12"/>
      <c r="W112" s="12"/>
      <c r="X112" s="12"/>
      <c r="Y112" s="12"/>
      <c r="Z112" s="12"/>
    </row>
    <row r="113" spans="1:26" x14ac:dyDescent="0.3">
      <c r="A113" s="6" t="s">
        <v>569</v>
      </c>
      <c r="B113" s="12"/>
      <c r="C113" s="12"/>
      <c r="D113" s="12" t="str">
        <f t="shared" si="6"/>
        <v/>
      </c>
      <c r="E113" s="12"/>
      <c r="F113" s="12"/>
      <c r="G113" s="12"/>
      <c r="H113" s="12" t="str">
        <f t="shared" si="7"/>
        <v/>
      </c>
      <c r="I113" s="12"/>
      <c r="J113" s="12"/>
      <c r="K113" s="12"/>
      <c r="L113" s="12"/>
      <c r="M113" s="12" t="str">
        <f t="shared" si="8"/>
        <v/>
      </c>
      <c r="N113" s="12"/>
      <c r="O113" s="12"/>
      <c r="P113" s="12"/>
      <c r="Q113" s="12" t="str">
        <f t="shared" si="9"/>
        <v/>
      </c>
      <c r="R113" s="12"/>
      <c r="S113" s="12"/>
      <c r="T113" s="12"/>
      <c r="U113" s="12"/>
      <c r="V113" s="12"/>
      <c r="W113" s="12"/>
      <c r="X113" s="12"/>
      <c r="Y113" s="12"/>
      <c r="Z113" s="12"/>
    </row>
    <row r="114" spans="1:26" x14ac:dyDescent="0.3">
      <c r="A114" s="6" t="s">
        <v>570</v>
      </c>
      <c r="B114" s="12"/>
      <c r="C114" s="12"/>
      <c r="D114" s="12" t="str">
        <f t="shared" si="6"/>
        <v/>
      </c>
      <c r="E114" s="12"/>
      <c r="F114" s="12"/>
      <c r="G114" s="12"/>
      <c r="H114" s="12" t="str">
        <f t="shared" si="7"/>
        <v/>
      </c>
      <c r="I114" s="12"/>
      <c r="J114" s="12"/>
      <c r="K114" s="12"/>
      <c r="L114" s="12"/>
      <c r="M114" s="12" t="str">
        <f t="shared" si="8"/>
        <v/>
      </c>
      <c r="N114" s="12"/>
      <c r="O114" s="12"/>
      <c r="P114" s="12"/>
      <c r="Q114" s="12" t="str">
        <f t="shared" si="9"/>
        <v/>
      </c>
      <c r="R114" s="12"/>
      <c r="S114" s="12"/>
      <c r="T114" s="12"/>
      <c r="U114" s="12"/>
      <c r="V114" s="12"/>
      <c r="W114" s="12"/>
      <c r="X114" s="12"/>
      <c r="Y114" s="12"/>
      <c r="Z114" s="12"/>
    </row>
    <row r="115" spans="1:26" x14ac:dyDescent="0.3">
      <c r="A115" s="6" t="s">
        <v>571</v>
      </c>
      <c r="B115" s="12"/>
      <c r="C115" s="12"/>
      <c r="D115" s="12" t="str">
        <f t="shared" si="6"/>
        <v/>
      </c>
      <c r="E115" s="12"/>
      <c r="F115" s="12"/>
      <c r="G115" s="12"/>
      <c r="H115" s="12" t="str">
        <f t="shared" si="7"/>
        <v/>
      </c>
      <c r="I115" s="12"/>
      <c r="J115" s="12"/>
      <c r="K115" s="12"/>
      <c r="L115" s="12"/>
      <c r="M115" s="12" t="str">
        <f t="shared" si="8"/>
        <v/>
      </c>
      <c r="N115" s="12"/>
      <c r="O115" s="12"/>
      <c r="P115" s="12"/>
      <c r="Q115" s="12" t="str">
        <f t="shared" si="9"/>
        <v/>
      </c>
      <c r="R115" s="12"/>
      <c r="S115" s="12"/>
      <c r="T115" s="12"/>
      <c r="U115" s="12"/>
      <c r="V115" s="12"/>
      <c r="W115" s="12"/>
      <c r="X115" s="12"/>
      <c r="Y115" s="12"/>
      <c r="Z115" s="12"/>
    </row>
    <row r="116" spans="1:26" x14ac:dyDescent="0.3">
      <c r="A116" s="6" t="s">
        <v>572</v>
      </c>
      <c r="B116" s="12"/>
      <c r="C116" s="12"/>
      <c r="D116" s="12" t="str">
        <f t="shared" si="6"/>
        <v/>
      </c>
      <c r="E116" s="12"/>
      <c r="F116" s="12"/>
      <c r="G116" s="12"/>
      <c r="H116" s="12" t="str">
        <f t="shared" si="7"/>
        <v/>
      </c>
      <c r="I116" s="12"/>
      <c r="J116" s="12"/>
      <c r="K116" s="12"/>
      <c r="L116" s="12"/>
      <c r="M116" s="12" t="str">
        <f t="shared" si="8"/>
        <v/>
      </c>
      <c r="N116" s="12"/>
      <c r="O116" s="12"/>
      <c r="P116" s="12"/>
      <c r="Q116" s="12" t="str">
        <f t="shared" si="9"/>
        <v/>
      </c>
      <c r="R116" s="12"/>
      <c r="S116" s="12"/>
      <c r="T116" s="12"/>
      <c r="U116" s="12"/>
      <c r="V116" s="12"/>
      <c r="W116" s="12"/>
      <c r="X116" s="12"/>
      <c r="Y116" s="12"/>
      <c r="Z116" s="12"/>
    </row>
    <row r="117" spans="1:26" x14ac:dyDescent="0.3">
      <c r="A117" s="6" t="s">
        <v>573</v>
      </c>
      <c r="B117" s="12"/>
      <c r="C117" s="12"/>
      <c r="D117" s="12" t="str">
        <f t="shared" si="6"/>
        <v/>
      </c>
      <c r="E117" s="12"/>
      <c r="F117" s="12"/>
      <c r="G117" s="12"/>
      <c r="H117" s="12" t="str">
        <f t="shared" si="7"/>
        <v/>
      </c>
      <c r="I117" s="12"/>
      <c r="J117" s="12"/>
      <c r="K117" s="12"/>
      <c r="L117" s="12"/>
      <c r="M117" s="12" t="str">
        <f t="shared" si="8"/>
        <v/>
      </c>
      <c r="N117" s="12"/>
      <c r="O117" s="12"/>
      <c r="P117" s="12"/>
      <c r="Q117" s="12" t="str">
        <f t="shared" si="9"/>
        <v/>
      </c>
      <c r="R117" s="12"/>
      <c r="S117" s="12"/>
      <c r="T117" s="12"/>
      <c r="U117" s="12"/>
      <c r="V117" s="12"/>
      <c r="W117" s="12"/>
      <c r="X117" s="12"/>
      <c r="Y117" s="12"/>
      <c r="Z117" s="12"/>
    </row>
    <row r="118" spans="1:26" x14ac:dyDescent="0.3">
      <c r="A118" s="6" t="s">
        <v>574</v>
      </c>
      <c r="B118" s="12"/>
      <c r="C118" s="12"/>
      <c r="D118" s="12" t="str">
        <f t="shared" si="6"/>
        <v/>
      </c>
      <c r="E118" s="12"/>
      <c r="F118" s="12"/>
      <c r="G118" s="12"/>
      <c r="H118" s="12" t="str">
        <f t="shared" si="7"/>
        <v/>
      </c>
      <c r="I118" s="12"/>
      <c r="J118" s="12"/>
      <c r="K118" s="12"/>
      <c r="L118" s="12"/>
      <c r="M118" s="12" t="str">
        <f t="shared" si="8"/>
        <v/>
      </c>
      <c r="N118" s="12"/>
      <c r="O118" s="12"/>
      <c r="P118" s="12"/>
      <c r="Q118" s="12" t="str">
        <f t="shared" si="9"/>
        <v/>
      </c>
      <c r="R118" s="12"/>
      <c r="S118" s="12"/>
      <c r="T118" s="12"/>
      <c r="U118" s="12"/>
      <c r="V118" s="12"/>
      <c r="W118" s="12"/>
      <c r="X118" s="12"/>
      <c r="Y118" s="12"/>
      <c r="Z118" s="12"/>
    </row>
    <row r="119" spans="1:26" x14ac:dyDescent="0.3">
      <c r="A119" s="6" t="s">
        <v>313</v>
      </c>
      <c r="B119" s="12"/>
      <c r="C119" s="12"/>
      <c r="D119" s="12" t="str">
        <f t="shared" si="6"/>
        <v/>
      </c>
      <c r="E119" s="12"/>
      <c r="F119" s="12"/>
      <c r="G119" s="12"/>
      <c r="H119" s="12" t="str">
        <f t="shared" si="7"/>
        <v/>
      </c>
      <c r="I119" s="12"/>
      <c r="J119" s="12"/>
      <c r="K119" s="12"/>
      <c r="L119" s="12"/>
      <c r="M119" s="12" t="str">
        <f t="shared" si="8"/>
        <v/>
      </c>
      <c r="N119" s="12"/>
      <c r="O119" s="12"/>
      <c r="P119" s="12"/>
      <c r="Q119" s="12" t="str">
        <f t="shared" si="9"/>
        <v/>
      </c>
      <c r="R119" s="12"/>
      <c r="S119" s="12"/>
      <c r="T119" s="12"/>
      <c r="U119" s="12"/>
      <c r="V119" s="12"/>
      <c r="W119" s="12"/>
      <c r="X119" s="12"/>
      <c r="Y119" s="12"/>
      <c r="Z119" s="12"/>
    </row>
    <row r="120" spans="1:26" x14ac:dyDescent="0.3">
      <c r="A120" s="6" t="s">
        <v>388</v>
      </c>
      <c r="B120" s="12"/>
      <c r="C120" s="12"/>
      <c r="D120" s="12" t="str">
        <f t="shared" si="6"/>
        <v/>
      </c>
      <c r="E120" s="12"/>
      <c r="F120" s="12"/>
      <c r="G120" s="12"/>
      <c r="H120" s="12" t="str">
        <f t="shared" si="7"/>
        <v/>
      </c>
      <c r="I120" s="12"/>
      <c r="J120" s="12"/>
      <c r="K120" s="12"/>
      <c r="L120" s="12"/>
      <c r="M120" s="12" t="str">
        <f t="shared" si="8"/>
        <v/>
      </c>
      <c r="N120" s="12"/>
      <c r="O120" s="12"/>
      <c r="P120" s="12"/>
      <c r="Q120" s="12" t="str">
        <f t="shared" si="9"/>
        <v/>
      </c>
      <c r="R120" s="12"/>
      <c r="S120" s="12"/>
      <c r="T120" s="12"/>
      <c r="U120" s="12"/>
      <c r="V120" s="12"/>
      <c r="W120" s="12"/>
      <c r="X120" s="12"/>
      <c r="Y120" s="12"/>
      <c r="Z120" s="12"/>
    </row>
    <row r="121" spans="1:26" x14ac:dyDescent="0.3">
      <c r="A121" s="6" t="s">
        <v>575</v>
      </c>
      <c r="B121" s="12"/>
      <c r="C121" s="12"/>
      <c r="D121" s="12" t="str">
        <f t="shared" si="6"/>
        <v/>
      </c>
      <c r="E121" s="12"/>
      <c r="F121" s="12"/>
      <c r="G121" s="12"/>
      <c r="H121" s="12" t="str">
        <f t="shared" si="7"/>
        <v/>
      </c>
      <c r="I121" s="12"/>
      <c r="J121" s="12"/>
      <c r="K121" s="12"/>
      <c r="L121" s="12"/>
      <c r="M121" s="12" t="str">
        <f t="shared" si="8"/>
        <v/>
      </c>
      <c r="N121" s="12"/>
      <c r="O121" s="12"/>
      <c r="P121" s="12"/>
      <c r="Q121" s="12" t="str">
        <f t="shared" si="9"/>
        <v/>
      </c>
      <c r="R121" s="12"/>
      <c r="S121" s="12"/>
      <c r="T121" s="12"/>
      <c r="U121" s="12"/>
      <c r="V121" s="12"/>
      <c r="W121" s="12"/>
      <c r="X121" s="12"/>
      <c r="Y121" s="12"/>
      <c r="Z121" s="12"/>
    </row>
    <row r="122" spans="1:26" x14ac:dyDescent="0.3">
      <c r="A122" s="6" t="s">
        <v>576</v>
      </c>
      <c r="B122" s="12"/>
      <c r="C122" s="12"/>
      <c r="D122" s="12" t="str">
        <f t="shared" si="6"/>
        <v/>
      </c>
      <c r="E122" s="12"/>
      <c r="F122" s="12"/>
      <c r="G122" s="12"/>
      <c r="H122" s="12" t="str">
        <f t="shared" si="7"/>
        <v/>
      </c>
      <c r="I122" s="12"/>
      <c r="J122" s="12"/>
      <c r="K122" s="12"/>
      <c r="L122" s="12"/>
      <c r="M122" s="12" t="str">
        <f t="shared" si="8"/>
        <v/>
      </c>
      <c r="N122" s="12"/>
      <c r="O122" s="12"/>
      <c r="P122" s="12"/>
      <c r="Q122" s="12" t="str">
        <f t="shared" si="9"/>
        <v/>
      </c>
      <c r="R122" s="12"/>
      <c r="S122" s="12"/>
      <c r="T122" s="12"/>
      <c r="U122" s="12"/>
      <c r="V122" s="12"/>
      <c r="W122" s="12"/>
      <c r="X122" s="12"/>
      <c r="Y122" s="12"/>
      <c r="Z122" s="12"/>
    </row>
    <row r="123" spans="1:26" x14ac:dyDescent="0.3">
      <c r="A123" s="6" t="s">
        <v>577</v>
      </c>
      <c r="B123" s="12"/>
      <c r="C123" s="12"/>
      <c r="D123" s="12" t="str">
        <f t="shared" si="6"/>
        <v/>
      </c>
      <c r="E123" s="12"/>
      <c r="F123" s="12"/>
      <c r="G123" s="12"/>
      <c r="H123" s="12" t="str">
        <f t="shared" si="7"/>
        <v/>
      </c>
      <c r="I123" s="12"/>
      <c r="J123" s="12"/>
      <c r="K123" s="12"/>
      <c r="L123" s="12"/>
      <c r="M123" s="12" t="str">
        <f t="shared" si="8"/>
        <v/>
      </c>
      <c r="N123" s="12"/>
      <c r="O123" s="12"/>
      <c r="P123" s="12"/>
      <c r="Q123" s="12" t="str">
        <f t="shared" si="9"/>
        <v/>
      </c>
      <c r="R123" s="12"/>
      <c r="S123" s="12"/>
      <c r="T123" s="12"/>
      <c r="U123" s="12"/>
      <c r="V123" s="12"/>
      <c r="W123" s="12"/>
      <c r="X123" s="12"/>
      <c r="Y123" s="12"/>
      <c r="Z123" s="12"/>
    </row>
    <row r="124" spans="1:26" x14ac:dyDescent="0.3">
      <c r="A124" s="6" t="s">
        <v>69</v>
      </c>
      <c r="B124" s="12"/>
      <c r="C124" s="12"/>
      <c r="D124" s="12" t="str">
        <f t="shared" si="6"/>
        <v/>
      </c>
      <c r="E124" s="12"/>
      <c r="F124" s="12"/>
      <c r="G124" s="12"/>
      <c r="H124" s="12" t="str">
        <f t="shared" si="7"/>
        <v/>
      </c>
      <c r="I124" s="12"/>
      <c r="J124" s="12"/>
      <c r="K124" s="12"/>
      <c r="L124" s="12"/>
      <c r="M124" s="12" t="str">
        <f t="shared" si="8"/>
        <v/>
      </c>
      <c r="N124" s="12"/>
      <c r="O124" s="12"/>
      <c r="P124" s="12"/>
      <c r="Q124" s="12" t="str">
        <f t="shared" si="9"/>
        <v/>
      </c>
      <c r="R124" s="12"/>
      <c r="S124" s="12"/>
      <c r="T124" s="12"/>
      <c r="U124" s="12"/>
      <c r="V124" s="12"/>
      <c r="W124" s="12"/>
      <c r="X124" s="12"/>
      <c r="Y124" s="12"/>
      <c r="Z124" s="12"/>
    </row>
    <row r="125" spans="1:26" x14ac:dyDescent="0.3">
      <c r="A125" s="6" t="s">
        <v>578</v>
      </c>
      <c r="B125" s="12"/>
      <c r="C125" s="12"/>
      <c r="D125" s="12" t="str">
        <f t="shared" si="6"/>
        <v/>
      </c>
      <c r="E125" s="12"/>
      <c r="F125" s="12"/>
      <c r="G125" s="12"/>
      <c r="H125" s="12" t="str">
        <f t="shared" si="7"/>
        <v/>
      </c>
      <c r="I125" s="12"/>
      <c r="J125" s="12"/>
      <c r="K125" s="12"/>
      <c r="L125" s="12"/>
      <c r="M125" s="12" t="str">
        <f t="shared" si="8"/>
        <v/>
      </c>
      <c r="N125" s="12"/>
      <c r="O125" s="12"/>
      <c r="P125" s="12"/>
      <c r="Q125" s="12" t="str">
        <f t="shared" si="9"/>
        <v/>
      </c>
      <c r="R125" s="12"/>
      <c r="S125" s="12"/>
      <c r="T125" s="12"/>
      <c r="U125" s="12"/>
      <c r="V125" s="12"/>
      <c r="W125" s="12"/>
      <c r="X125" s="12"/>
      <c r="Y125" s="12"/>
      <c r="Z125" s="12"/>
    </row>
    <row r="126" spans="1:26" x14ac:dyDescent="0.3">
      <c r="A126" s="6" t="s">
        <v>579</v>
      </c>
      <c r="B126" s="12"/>
      <c r="C126" s="12"/>
      <c r="D126" s="12" t="str">
        <f t="shared" si="6"/>
        <v/>
      </c>
      <c r="E126" s="12"/>
      <c r="F126" s="12"/>
      <c r="G126" s="12"/>
      <c r="H126" s="12" t="str">
        <f t="shared" si="7"/>
        <v/>
      </c>
      <c r="I126" s="12"/>
      <c r="J126" s="12"/>
      <c r="K126" s="12"/>
      <c r="L126" s="12"/>
      <c r="M126" s="12" t="str">
        <f t="shared" si="8"/>
        <v/>
      </c>
      <c r="N126" s="12"/>
      <c r="O126" s="12"/>
      <c r="P126" s="12"/>
      <c r="Q126" s="12" t="str">
        <f t="shared" si="9"/>
        <v/>
      </c>
      <c r="R126" s="12"/>
      <c r="S126" s="12"/>
      <c r="T126" s="12"/>
      <c r="U126" s="12"/>
      <c r="V126" s="12"/>
      <c r="W126" s="12"/>
      <c r="X126" s="12"/>
      <c r="Y126" s="12"/>
      <c r="Z126" s="12"/>
    </row>
    <row r="127" spans="1:26" x14ac:dyDescent="0.3">
      <c r="A127" s="6" t="s">
        <v>580</v>
      </c>
      <c r="B127" s="12"/>
      <c r="C127" s="12"/>
      <c r="D127" s="12" t="str">
        <f t="shared" si="6"/>
        <v/>
      </c>
      <c r="E127" s="12"/>
      <c r="F127" s="12"/>
      <c r="G127" s="12"/>
      <c r="H127" s="12" t="str">
        <f t="shared" si="7"/>
        <v/>
      </c>
      <c r="I127" s="12"/>
      <c r="J127" s="12"/>
      <c r="K127" s="12"/>
      <c r="L127" s="12"/>
      <c r="M127" s="12" t="str">
        <f t="shared" si="8"/>
        <v/>
      </c>
      <c r="N127" s="12"/>
      <c r="O127" s="12"/>
      <c r="P127" s="12"/>
      <c r="Q127" s="12" t="str">
        <f t="shared" si="9"/>
        <v/>
      </c>
      <c r="R127" s="12"/>
      <c r="S127" s="12"/>
      <c r="T127" s="12"/>
      <c r="U127" s="12"/>
      <c r="V127" s="12"/>
      <c r="W127" s="12"/>
      <c r="X127" s="12"/>
      <c r="Y127" s="12"/>
      <c r="Z127" s="12"/>
    </row>
    <row r="128" spans="1:26" x14ac:dyDescent="0.3">
      <c r="A128" s="6" t="s">
        <v>581</v>
      </c>
      <c r="B128" s="12"/>
      <c r="C128" s="12"/>
      <c r="D128" s="12" t="str">
        <f t="shared" si="6"/>
        <v/>
      </c>
      <c r="E128" s="12"/>
      <c r="F128" s="12"/>
      <c r="G128" s="12"/>
      <c r="H128" s="12" t="str">
        <f t="shared" si="7"/>
        <v/>
      </c>
      <c r="I128" s="12"/>
      <c r="J128" s="12"/>
      <c r="K128" s="12"/>
      <c r="L128" s="12"/>
      <c r="M128" s="12" t="str">
        <f t="shared" si="8"/>
        <v/>
      </c>
      <c r="N128" s="12"/>
      <c r="O128" s="12"/>
      <c r="P128" s="12"/>
      <c r="Q128" s="12" t="str">
        <f t="shared" si="9"/>
        <v/>
      </c>
      <c r="R128" s="12"/>
      <c r="S128" s="12"/>
      <c r="T128" s="12"/>
      <c r="U128" s="12"/>
      <c r="V128" s="12"/>
      <c r="W128" s="12"/>
      <c r="X128" s="12"/>
      <c r="Y128" s="12"/>
      <c r="Z128" s="12"/>
    </row>
    <row r="129" spans="1:26" x14ac:dyDescent="0.3">
      <c r="A129" s="6" t="s">
        <v>582</v>
      </c>
      <c r="B129" s="12"/>
      <c r="C129" s="12"/>
      <c r="D129" s="12" t="str">
        <f t="shared" si="6"/>
        <v/>
      </c>
      <c r="E129" s="12"/>
      <c r="F129" s="12"/>
      <c r="G129" s="12"/>
      <c r="H129" s="12" t="str">
        <f t="shared" si="7"/>
        <v/>
      </c>
      <c r="I129" s="12"/>
      <c r="J129" s="12"/>
      <c r="K129" s="12"/>
      <c r="L129" s="12"/>
      <c r="M129" s="12" t="str">
        <f t="shared" si="8"/>
        <v/>
      </c>
      <c r="N129" s="12"/>
      <c r="O129" s="12"/>
      <c r="P129" s="12"/>
      <c r="Q129" s="12" t="str">
        <f t="shared" si="9"/>
        <v/>
      </c>
      <c r="R129" s="12"/>
      <c r="S129" s="12"/>
      <c r="T129" s="12"/>
      <c r="U129" s="12"/>
      <c r="V129" s="12"/>
      <c r="W129" s="12"/>
      <c r="X129" s="12"/>
      <c r="Y129" s="12"/>
      <c r="Z129" s="12"/>
    </row>
    <row r="130" spans="1:26" x14ac:dyDescent="0.3">
      <c r="A130" s="6" t="s">
        <v>583</v>
      </c>
      <c r="B130" s="12"/>
      <c r="C130" s="12"/>
      <c r="D130" s="12" t="str">
        <f t="shared" si="6"/>
        <v/>
      </c>
      <c r="E130" s="12"/>
      <c r="F130" s="12"/>
      <c r="G130" s="12"/>
      <c r="H130" s="12" t="str">
        <f t="shared" si="7"/>
        <v/>
      </c>
      <c r="I130" s="12"/>
      <c r="J130" s="12"/>
      <c r="K130" s="12"/>
      <c r="L130" s="12"/>
      <c r="M130" s="12" t="str">
        <f t="shared" si="8"/>
        <v/>
      </c>
      <c r="N130" s="12"/>
      <c r="O130" s="12"/>
      <c r="P130" s="12"/>
      <c r="Q130" s="12" t="str">
        <f t="shared" si="9"/>
        <v/>
      </c>
      <c r="R130" s="12"/>
      <c r="S130" s="12"/>
      <c r="T130" s="12"/>
      <c r="U130" s="12"/>
      <c r="V130" s="12"/>
      <c r="W130" s="12"/>
      <c r="X130" s="12"/>
      <c r="Y130" s="12"/>
      <c r="Z130" s="12"/>
    </row>
    <row r="131" spans="1:26" x14ac:dyDescent="0.3">
      <c r="A131" s="6" t="s">
        <v>584</v>
      </c>
      <c r="B131" s="12"/>
      <c r="C131" s="12"/>
      <c r="D131" s="12" t="str">
        <f t="shared" ref="D131:D194" si="10">IF(B131="", "", (C131/B131)*100)</f>
        <v/>
      </c>
      <c r="E131" s="12"/>
      <c r="F131" s="12"/>
      <c r="G131" s="12"/>
      <c r="H131" s="12" t="str">
        <f t="shared" ref="H131:H194" si="11">IF(F131="", "", E131/F131)</f>
        <v/>
      </c>
      <c r="I131" s="12"/>
      <c r="J131" s="12"/>
      <c r="K131" s="12"/>
      <c r="L131" s="12"/>
      <c r="M131" s="12" t="str">
        <f t="shared" ref="M131:M194" si="12">IF(J131="", "", (L131/J131)*100)</f>
        <v/>
      </c>
      <c r="N131" s="12"/>
      <c r="O131" s="12"/>
      <c r="P131" s="12"/>
      <c r="Q131" s="12" t="str">
        <f t="shared" ref="Q131:Q194" si="13">IF(N131="", "", (P131/N131)*100)</f>
        <v/>
      </c>
      <c r="R131" s="12"/>
      <c r="S131" s="12"/>
      <c r="T131" s="12"/>
      <c r="U131" s="12"/>
      <c r="V131" s="12"/>
      <c r="W131" s="12"/>
      <c r="X131" s="12"/>
      <c r="Y131" s="12"/>
      <c r="Z131" s="12"/>
    </row>
    <row r="132" spans="1:26" x14ac:dyDescent="0.3">
      <c r="A132" s="6" t="s">
        <v>585</v>
      </c>
      <c r="B132" s="12"/>
      <c r="C132" s="12"/>
      <c r="D132" s="12" t="str">
        <f t="shared" si="10"/>
        <v/>
      </c>
      <c r="E132" s="12"/>
      <c r="F132" s="12"/>
      <c r="G132" s="12"/>
      <c r="H132" s="12" t="str">
        <f t="shared" si="11"/>
        <v/>
      </c>
      <c r="I132" s="12"/>
      <c r="J132" s="12"/>
      <c r="K132" s="12"/>
      <c r="L132" s="12"/>
      <c r="M132" s="12" t="str">
        <f t="shared" si="12"/>
        <v/>
      </c>
      <c r="N132" s="12"/>
      <c r="O132" s="12"/>
      <c r="P132" s="12"/>
      <c r="Q132" s="12" t="str">
        <f t="shared" si="13"/>
        <v/>
      </c>
      <c r="R132" s="12"/>
      <c r="S132" s="12"/>
      <c r="T132" s="12"/>
      <c r="U132" s="12"/>
      <c r="V132" s="12"/>
      <c r="W132" s="12"/>
      <c r="X132" s="12"/>
      <c r="Y132" s="12"/>
      <c r="Z132" s="12"/>
    </row>
    <row r="133" spans="1:26" x14ac:dyDescent="0.3">
      <c r="A133" s="6" t="s">
        <v>586</v>
      </c>
      <c r="B133" s="12"/>
      <c r="C133" s="12"/>
      <c r="D133" s="12" t="str">
        <f t="shared" si="10"/>
        <v/>
      </c>
      <c r="E133" s="12"/>
      <c r="F133" s="12"/>
      <c r="G133" s="12"/>
      <c r="H133" s="12" t="str">
        <f t="shared" si="11"/>
        <v/>
      </c>
      <c r="I133" s="12"/>
      <c r="J133" s="12"/>
      <c r="K133" s="12"/>
      <c r="L133" s="12"/>
      <c r="M133" s="12" t="str">
        <f t="shared" si="12"/>
        <v/>
      </c>
      <c r="N133" s="12"/>
      <c r="O133" s="12"/>
      <c r="P133" s="12"/>
      <c r="Q133" s="12" t="str">
        <f t="shared" si="13"/>
        <v/>
      </c>
      <c r="R133" s="12"/>
      <c r="S133" s="12"/>
      <c r="T133" s="12"/>
      <c r="U133" s="12"/>
      <c r="V133" s="12"/>
      <c r="W133" s="12"/>
      <c r="X133" s="12"/>
      <c r="Y133" s="12"/>
      <c r="Z133" s="12"/>
    </row>
    <row r="134" spans="1:26" x14ac:dyDescent="0.3">
      <c r="A134" s="6" t="s">
        <v>587</v>
      </c>
      <c r="B134" s="12"/>
      <c r="C134" s="12"/>
      <c r="D134" s="12" t="str">
        <f t="shared" si="10"/>
        <v/>
      </c>
      <c r="E134" s="12"/>
      <c r="F134" s="12"/>
      <c r="G134" s="12"/>
      <c r="H134" s="12" t="str">
        <f t="shared" si="11"/>
        <v/>
      </c>
      <c r="I134" s="12"/>
      <c r="J134" s="12"/>
      <c r="K134" s="12"/>
      <c r="L134" s="12"/>
      <c r="M134" s="12" t="str">
        <f t="shared" si="12"/>
        <v/>
      </c>
      <c r="N134" s="12"/>
      <c r="O134" s="12"/>
      <c r="P134" s="12"/>
      <c r="Q134" s="12" t="str">
        <f t="shared" si="13"/>
        <v/>
      </c>
      <c r="R134" s="12"/>
      <c r="S134" s="12"/>
      <c r="T134" s="12"/>
      <c r="U134" s="12"/>
      <c r="V134" s="12"/>
      <c r="W134" s="12"/>
      <c r="X134" s="12"/>
      <c r="Y134" s="12"/>
      <c r="Z134" s="12"/>
    </row>
    <row r="135" spans="1:26" x14ac:dyDescent="0.3">
      <c r="A135" s="6" t="s">
        <v>588</v>
      </c>
      <c r="B135" s="12"/>
      <c r="C135" s="12"/>
      <c r="D135" s="12" t="str">
        <f t="shared" si="10"/>
        <v/>
      </c>
      <c r="E135" s="12"/>
      <c r="F135" s="12"/>
      <c r="G135" s="12"/>
      <c r="H135" s="12" t="str">
        <f t="shared" si="11"/>
        <v/>
      </c>
      <c r="I135" s="12"/>
      <c r="J135" s="12"/>
      <c r="K135" s="12"/>
      <c r="L135" s="12"/>
      <c r="M135" s="12" t="str">
        <f t="shared" si="12"/>
        <v/>
      </c>
      <c r="N135" s="12"/>
      <c r="O135" s="12"/>
      <c r="P135" s="12"/>
      <c r="Q135" s="12" t="str">
        <f t="shared" si="13"/>
        <v/>
      </c>
      <c r="R135" s="12"/>
      <c r="S135" s="12"/>
      <c r="T135" s="12"/>
      <c r="U135" s="12"/>
      <c r="V135" s="12"/>
      <c r="W135" s="12"/>
      <c r="X135" s="12"/>
      <c r="Y135" s="12"/>
      <c r="Z135" s="12"/>
    </row>
    <row r="136" spans="1:26" x14ac:dyDescent="0.3">
      <c r="A136" s="6" t="s">
        <v>589</v>
      </c>
      <c r="B136" s="12"/>
      <c r="C136" s="12"/>
      <c r="D136" s="12" t="str">
        <f t="shared" si="10"/>
        <v/>
      </c>
      <c r="E136" s="12"/>
      <c r="F136" s="12"/>
      <c r="G136" s="12"/>
      <c r="H136" s="12" t="str">
        <f t="shared" si="11"/>
        <v/>
      </c>
      <c r="I136" s="12"/>
      <c r="J136" s="12"/>
      <c r="K136" s="12"/>
      <c r="L136" s="12"/>
      <c r="M136" s="12" t="str">
        <f t="shared" si="12"/>
        <v/>
      </c>
      <c r="N136" s="12"/>
      <c r="O136" s="12"/>
      <c r="P136" s="12"/>
      <c r="Q136" s="12" t="str">
        <f t="shared" si="13"/>
        <v/>
      </c>
      <c r="R136" s="12"/>
      <c r="S136" s="12"/>
      <c r="T136" s="12"/>
      <c r="U136" s="12"/>
      <c r="V136" s="12"/>
      <c r="W136" s="12"/>
      <c r="X136" s="12"/>
      <c r="Y136" s="12"/>
      <c r="Z136" s="12"/>
    </row>
    <row r="137" spans="1:26" x14ac:dyDescent="0.3">
      <c r="A137" s="6" t="s">
        <v>590</v>
      </c>
      <c r="B137" s="12"/>
      <c r="C137" s="12"/>
      <c r="D137" s="12" t="str">
        <f t="shared" si="10"/>
        <v/>
      </c>
      <c r="E137" s="12"/>
      <c r="F137" s="12"/>
      <c r="G137" s="12"/>
      <c r="H137" s="12" t="str">
        <f t="shared" si="11"/>
        <v/>
      </c>
      <c r="I137" s="12"/>
      <c r="J137" s="12"/>
      <c r="K137" s="12"/>
      <c r="L137" s="12"/>
      <c r="M137" s="12" t="str">
        <f t="shared" si="12"/>
        <v/>
      </c>
      <c r="N137" s="12"/>
      <c r="O137" s="12"/>
      <c r="P137" s="12"/>
      <c r="Q137" s="12" t="str">
        <f t="shared" si="13"/>
        <v/>
      </c>
      <c r="R137" s="12"/>
      <c r="S137" s="12"/>
      <c r="T137" s="12"/>
      <c r="U137" s="12"/>
      <c r="V137" s="12"/>
      <c r="W137" s="12"/>
      <c r="X137" s="12"/>
      <c r="Y137" s="12"/>
      <c r="Z137" s="12"/>
    </row>
    <row r="138" spans="1:26" x14ac:dyDescent="0.3">
      <c r="A138" s="6" t="s">
        <v>591</v>
      </c>
      <c r="B138" s="12"/>
      <c r="C138" s="12"/>
      <c r="D138" s="12" t="str">
        <f t="shared" si="10"/>
        <v/>
      </c>
      <c r="E138" s="12"/>
      <c r="F138" s="12"/>
      <c r="G138" s="12"/>
      <c r="H138" s="12" t="str">
        <f t="shared" si="11"/>
        <v/>
      </c>
      <c r="I138" s="12"/>
      <c r="J138" s="12"/>
      <c r="K138" s="12"/>
      <c r="L138" s="12"/>
      <c r="M138" s="12" t="str">
        <f t="shared" si="12"/>
        <v/>
      </c>
      <c r="N138" s="12"/>
      <c r="O138" s="12"/>
      <c r="P138" s="12"/>
      <c r="Q138" s="12" t="str">
        <f t="shared" si="13"/>
        <v/>
      </c>
      <c r="R138" s="12"/>
      <c r="S138" s="12"/>
      <c r="T138" s="12"/>
      <c r="U138" s="12"/>
      <c r="V138" s="12"/>
      <c r="W138" s="12"/>
      <c r="X138" s="12"/>
      <c r="Y138" s="12"/>
      <c r="Z138" s="12"/>
    </row>
    <row r="139" spans="1:26" x14ac:dyDescent="0.3">
      <c r="A139" s="6" t="s">
        <v>592</v>
      </c>
      <c r="B139" s="12"/>
      <c r="C139" s="12"/>
      <c r="D139" s="12" t="str">
        <f t="shared" si="10"/>
        <v/>
      </c>
      <c r="E139" s="12"/>
      <c r="F139" s="12"/>
      <c r="G139" s="12"/>
      <c r="H139" s="12" t="str">
        <f t="shared" si="11"/>
        <v/>
      </c>
      <c r="I139" s="12"/>
      <c r="J139" s="12"/>
      <c r="K139" s="12"/>
      <c r="L139" s="12"/>
      <c r="M139" s="12" t="str">
        <f t="shared" si="12"/>
        <v/>
      </c>
      <c r="N139" s="12"/>
      <c r="O139" s="12"/>
      <c r="P139" s="12"/>
      <c r="Q139" s="12" t="str">
        <f t="shared" si="13"/>
        <v/>
      </c>
      <c r="R139" s="12"/>
      <c r="S139" s="12"/>
      <c r="T139" s="12"/>
      <c r="U139" s="12"/>
      <c r="V139" s="12"/>
      <c r="W139" s="12"/>
      <c r="X139" s="12"/>
      <c r="Y139" s="12"/>
      <c r="Z139" s="12"/>
    </row>
    <row r="140" spans="1:26" x14ac:dyDescent="0.3">
      <c r="A140" s="6" t="s">
        <v>593</v>
      </c>
      <c r="B140" s="12"/>
      <c r="C140" s="12"/>
      <c r="D140" s="12" t="str">
        <f t="shared" si="10"/>
        <v/>
      </c>
      <c r="E140" s="12"/>
      <c r="F140" s="12"/>
      <c r="G140" s="12"/>
      <c r="H140" s="12" t="str">
        <f t="shared" si="11"/>
        <v/>
      </c>
      <c r="I140" s="12"/>
      <c r="J140" s="12"/>
      <c r="K140" s="12"/>
      <c r="L140" s="12"/>
      <c r="M140" s="12" t="str">
        <f t="shared" si="12"/>
        <v/>
      </c>
      <c r="N140" s="12"/>
      <c r="O140" s="12"/>
      <c r="P140" s="12"/>
      <c r="Q140" s="12" t="str">
        <f t="shared" si="13"/>
        <v/>
      </c>
      <c r="R140" s="12"/>
      <c r="S140" s="12"/>
      <c r="T140" s="12"/>
      <c r="U140" s="12"/>
      <c r="V140" s="12"/>
      <c r="W140" s="12"/>
      <c r="X140" s="12"/>
      <c r="Y140" s="12"/>
      <c r="Z140" s="12"/>
    </row>
    <row r="141" spans="1:26" x14ac:dyDescent="0.3">
      <c r="A141" s="6" t="s">
        <v>594</v>
      </c>
      <c r="B141" s="12"/>
      <c r="C141" s="12"/>
      <c r="D141" s="12" t="str">
        <f t="shared" si="10"/>
        <v/>
      </c>
      <c r="E141" s="12"/>
      <c r="F141" s="12"/>
      <c r="G141" s="12"/>
      <c r="H141" s="12" t="str">
        <f t="shared" si="11"/>
        <v/>
      </c>
      <c r="I141" s="12"/>
      <c r="J141" s="12"/>
      <c r="K141" s="12"/>
      <c r="L141" s="12"/>
      <c r="M141" s="12" t="str">
        <f t="shared" si="12"/>
        <v/>
      </c>
      <c r="N141" s="12"/>
      <c r="O141" s="12"/>
      <c r="P141" s="12"/>
      <c r="Q141" s="12" t="str">
        <f t="shared" si="13"/>
        <v/>
      </c>
      <c r="R141" s="12"/>
      <c r="S141" s="12"/>
      <c r="T141" s="12"/>
      <c r="U141" s="12"/>
      <c r="V141" s="12"/>
      <c r="W141" s="12"/>
      <c r="X141" s="12"/>
      <c r="Y141" s="12"/>
      <c r="Z141" s="12"/>
    </row>
    <row r="142" spans="1:26" x14ac:dyDescent="0.3">
      <c r="A142" s="6" t="s">
        <v>595</v>
      </c>
      <c r="B142" s="12"/>
      <c r="C142" s="12"/>
      <c r="D142" s="12" t="str">
        <f t="shared" si="10"/>
        <v/>
      </c>
      <c r="E142" s="12"/>
      <c r="F142" s="12"/>
      <c r="G142" s="12"/>
      <c r="H142" s="12" t="str">
        <f t="shared" si="11"/>
        <v/>
      </c>
      <c r="I142" s="12"/>
      <c r="J142" s="12"/>
      <c r="K142" s="12"/>
      <c r="L142" s="12"/>
      <c r="M142" s="12" t="str">
        <f t="shared" si="12"/>
        <v/>
      </c>
      <c r="N142" s="12"/>
      <c r="O142" s="12"/>
      <c r="P142" s="12"/>
      <c r="Q142" s="12" t="str">
        <f t="shared" si="13"/>
        <v/>
      </c>
      <c r="R142" s="12"/>
      <c r="S142" s="12"/>
      <c r="T142" s="12"/>
      <c r="U142" s="12"/>
      <c r="V142" s="12"/>
      <c r="W142" s="12"/>
      <c r="X142" s="12"/>
      <c r="Y142" s="12"/>
      <c r="Z142" s="12"/>
    </row>
    <row r="143" spans="1:26" x14ac:dyDescent="0.3">
      <c r="A143" s="6" t="s">
        <v>596</v>
      </c>
      <c r="B143" s="12"/>
      <c r="C143" s="12"/>
      <c r="D143" s="12" t="str">
        <f t="shared" si="10"/>
        <v/>
      </c>
      <c r="E143" s="12"/>
      <c r="F143" s="12"/>
      <c r="G143" s="12"/>
      <c r="H143" s="12" t="str">
        <f t="shared" si="11"/>
        <v/>
      </c>
      <c r="I143" s="12"/>
      <c r="J143" s="12"/>
      <c r="K143" s="12"/>
      <c r="L143" s="12"/>
      <c r="M143" s="12" t="str">
        <f t="shared" si="12"/>
        <v/>
      </c>
      <c r="N143" s="12"/>
      <c r="O143" s="12"/>
      <c r="P143" s="12"/>
      <c r="Q143" s="12" t="str">
        <f t="shared" si="13"/>
        <v/>
      </c>
      <c r="R143" s="12"/>
      <c r="S143" s="12"/>
      <c r="T143" s="12"/>
      <c r="U143" s="12"/>
      <c r="V143" s="12"/>
      <c r="W143" s="12"/>
      <c r="X143" s="12"/>
      <c r="Y143" s="12"/>
      <c r="Z143" s="12"/>
    </row>
    <row r="144" spans="1:26" x14ac:dyDescent="0.3">
      <c r="A144" s="6" t="s">
        <v>597</v>
      </c>
      <c r="B144" s="12"/>
      <c r="C144" s="12"/>
      <c r="D144" s="12" t="str">
        <f t="shared" si="10"/>
        <v/>
      </c>
      <c r="E144" s="12"/>
      <c r="F144" s="12"/>
      <c r="G144" s="12"/>
      <c r="H144" s="12" t="str">
        <f t="shared" si="11"/>
        <v/>
      </c>
      <c r="I144" s="12"/>
      <c r="J144" s="12"/>
      <c r="K144" s="12"/>
      <c r="L144" s="12"/>
      <c r="M144" s="12" t="str">
        <f t="shared" si="12"/>
        <v/>
      </c>
      <c r="N144" s="12"/>
      <c r="O144" s="12"/>
      <c r="P144" s="12"/>
      <c r="Q144" s="12" t="str">
        <f t="shared" si="13"/>
        <v/>
      </c>
      <c r="R144" s="12"/>
      <c r="S144" s="12"/>
      <c r="T144" s="12"/>
      <c r="U144" s="12"/>
      <c r="V144" s="12"/>
      <c r="W144" s="12"/>
      <c r="X144" s="12"/>
      <c r="Y144" s="12"/>
      <c r="Z144" s="12"/>
    </row>
    <row r="145" spans="1:26" x14ac:dyDescent="0.3">
      <c r="A145" s="6" t="s">
        <v>598</v>
      </c>
      <c r="B145" s="12"/>
      <c r="C145" s="12"/>
      <c r="D145" s="12" t="str">
        <f t="shared" si="10"/>
        <v/>
      </c>
      <c r="E145" s="12"/>
      <c r="F145" s="12"/>
      <c r="G145" s="12"/>
      <c r="H145" s="12" t="str">
        <f t="shared" si="11"/>
        <v/>
      </c>
      <c r="I145" s="12"/>
      <c r="J145" s="12"/>
      <c r="K145" s="12"/>
      <c r="L145" s="12"/>
      <c r="M145" s="12" t="str">
        <f t="shared" si="12"/>
        <v/>
      </c>
      <c r="N145" s="12"/>
      <c r="O145" s="12"/>
      <c r="P145" s="12"/>
      <c r="Q145" s="12" t="str">
        <f t="shared" si="13"/>
        <v/>
      </c>
      <c r="R145" s="12"/>
      <c r="S145" s="12"/>
      <c r="T145" s="12"/>
      <c r="U145" s="12"/>
      <c r="V145" s="12"/>
      <c r="W145" s="12"/>
      <c r="X145" s="12"/>
      <c r="Y145" s="12"/>
      <c r="Z145" s="12"/>
    </row>
    <row r="146" spans="1:26" x14ac:dyDescent="0.3">
      <c r="A146" s="6" t="s">
        <v>599</v>
      </c>
      <c r="B146" s="12"/>
      <c r="C146" s="12"/>
      <c r="D146" s="12" t="str">
        <f t="shared" si="10"/>
        <v/>
      </c>
      <c r="E146" s="12"/>
      <c r="F146" s="12"/>
      <c r="G146" s="12"/>
      <c r="H146" s="12" t="str">
        <f t="shared" si="11"/>
        <v/>
      </c>
      <c r="I146" s="12"/>
      <c r="J146" s="12"/>
      <c r="K146" s="12"/>
      <c r="L146" s="12"/>
      <c r="M146" s="12" t="str">
        <f t="shared" si="12"/>
        <v/>
      </c>
      <c r="N146" s="12"/>
      <c r="O146" s="12"/>
      <c r="P146" s="12"/>
      <c r="Q146" s="12" t="str">
        <f t="shared" si="13"/>
        <v/>
      </c>
      <c r="R146" s="12"/>
      <c r="S146" s="12"/>
      <c r="T146" s="12"/>
      <c r="U146" s="12"/>
      <c r="V146" s="12"/>
      <c r="W146" s="12"/>
      <c r="X146" s="12"/>
      <c r="Y146" s="12"/>
      <c r="Z146" s="12"/>
    </row>
    <row r="147" spans="1:26" x14ac:dyDescent="0.3">
      <c r="A147" s="6" t="s">
        <v>841</v>
      </c>
      <c r="B147" s="12"/>
      <c r="C147" s="12"/>
      <c r="D147" s="12" t="str">
        <f t="shared" si="10"/>
        <v/>
      </c>
      <c r="E147" s="12"/>
      <c r="F147" s="12"/>
      <c r="G147" s="12"/>
      <c r="H147" s="12" t="str">
        <f t="shared" si="11"/>
        <v/>
      </c>
      <c r="I147" s="12"/>
      <c r="J147" s="12"/>
      <c r="K147" s="12"/>
      <c r="L147" s="12"/>
      <c r="M147" s="12" t="str">
        <f t="shared" si="12"/>
        <v/>
      </c>
      <c r="N147" s="12"/>
      <c r="O147" s="12"/>
      <c r="P147" s="12"/>
      <c r="Q147" s="12" t="str">
        <f t="shared" si="13"/>
        <v/>
      </c>
      <c r="R147" s="12"/>
      <c r="S147" s="12"/>
      <c r="T147" s="12"/>
      <c r="U147" s="12"/>
      <c r="V147" s="12"/>
      <c r="W147" s="12"/>
      <c r="X147" s="12"/>
      <c r="Y147" s="12"/>
      <c r="Z147" s="12"/>
    </row>
    <row r="148" spans="1:26" x14ac:dyDescent="0.3">
      <c r="A148" s="6" t="s">
        <v>600</v>
      </c>
      <c r="B148" s="12"/>
      <c r="C148" s="12"/>
      <c r="D148" s="12" t="str">
        <f t="shared" si="10"/>
        <v/>
      </c>
      <c r="E148" s="12"/>
      <c r="F148" s="12"/>
      <c r="G148" s="12"/>
      <c r="H148" s="12" t="str">
        <f t="shared" si="11"/>
        <v/>
      </c>
      <c r="I148" s="12"/>
      <c r="J148" s="12"/>
      <c r="K148" s="12"/>
      <c r="L148" s="12"/>
      <c r="M148" s="12" t="str">
        <f t="shared" si="12"/>
        <v/>
      </c>
      <c r="N148" s="12"/>
      <c r="O148" s="12"/>
      <c r="P148" s="12"/>
      <c r="Q148" s="12" t="str">
        <f t="shared" si="13"/>
        <v/>
      </c>
      <c r="R148" s="12"/>
      <c r="S148" s="12"/>
      <c r="T148" s="12"/>
      <c r="U148" s="12"/>
      <c r="V148" s="12"/>
      <c r="W148" s="12"/>
      <c r="X148" s="12"/>
      <c r="Y148" s="12"/>
      <c r="Z148" s="12"/>
    </row>
    <row r="149" spans="1:26" x14ac:dyDescent="0.3">
      <c r="A149" s="6" t="s">
        <v>601</v>
      </c>
      <c r="B149" s="12"/>
      <c r="C149" s="12"/>
      <c r="D149" s="12" t="str">
        <f t="shared" si="10"/>
        <v/>
      </c>
      <c r="E149" s="12"/>
      <c r="F149" s="12"/>
      <c r="G149" s="12"/>
      <c r="H149" s="12" t="str">
        <f t="shared" si="11"/>
        <v/>
      </c>
      <c r="I149" s="12"/>
      <c r="J149" s="12"/>
      <c r="K149" s="12"/>
      <c r="L149" s="12"/>
      <c r="M149" s="12" t="str">
        <f t="shared" si="12"/>
        <v/>
      </c>
      <c r="N149" s="12"/>
      <c r="O149" s="12"/>
      <c r="P149" s="12"/>
      <c r="Q149" s="12" t="str">
        <f t="shared" si="13"/>
        <v/>
      </c>
      <c r="R149" s="12"/>
      <c r="S149" s="12"/>
      <c r="T149" s="12"/>
      <c r="U149" s="12"/>
      <c r="V149" s="12"/>
      <c r="W149" s="12"/>
      <c r="X149" s="12"/>
      <c r="Y149" s="12"/>
      <c r="Z149" s="12"/>
    </row>
    <row r="150" spans="1:26" x14ac:dyDescent="0.3">
      <c r="A150" s="6" t="s">
        <v>602</v>
      </c>
      <c r="B150" s="12"/>
      <c r="C150" s="12"/>
      <c r="D150" s="12" t="str">
        <f t="shared" si="10"/>
        <v/>
      </c>
      <c r="E150" s="12"/>
      <c r="F150" s="12"/>
      <c r="G150" s="12"/>
      <c r="H150" s="12" t="str">
        <f t="shared" si="11"/>
        <v/>
      </c>
      <c r="I150" s="12"/>
      <c r="J150" s="12"/>
      <c r="K150" s="12"/>
      <c r="L150" s="12"/>
      <c r="M150" s="12" t="str">
        <f t="shared" si="12"/>
        <v/>
      </c>
      <c r="N150" s="12"/>
      <c r="O150" s="12"/>
      <c r="P150" s="12"/>
      <c r="Q150" s="12" t="str">
        <f t="shared" si="13"/>
        <v/>
      </c>
      <c r="R150" s="12"/>
      <c r="S150" s="12"/>
      <c r="T150" s="12"/>
      <c r="U150" s="12"/>
      <c r="V150" s="12"/>
      <c r="W150" s="12"/>
      <c r="X150" s="12"/>
      <c r="Y150" s="12"/>
      <c r="Z150" s="12"/>
    </row>
    <row r="151" spans="1:26" x14ac:dyDescent="0.3">
      <c r="A151" s="6" t="s">
        <v>603</v>
      </c>
      <c r="B151" s="12"/>
      <c r="C151" s="12"/>
      <c r="D151" s="12" t="str">
        <f t="shared" si="10"/>
        <v/>
      </c>
      <c r="E151" s="12"/>
      <c r="F151" s="12"/>
      <c r="G151" s="12"/>
      <c r="H151" s="12" t="str">
        <f t="shared" si="11"/>
        <v/>
      </c>
      <c r="I151" s="12"/>
      <c r="J151" s="12"/>
      <c r="K151" s="12"/>
      <c r="L151" s="12"/>
      <c r="M151" s="12" t="str">
        <f t="shared" si="12"/>
        <v/>
      </c>
      <c r="N151" s="12"/>
      <c r="O151" s="12"/>
      <c r="P151" s="12"/>
      <c r="Q151" s="12" t="str">
        <f t="shared" si="13"/>
        <v/>
      </c>
      <c r="R151" s="12"/>
      <c r="S151" s="12"/>
      <c r="T151" s="12"/>
      <c r="U151" s="12"/>
      <c r="V151" s="12"/>
      <c r="W151" s="12"/>
      <c r="X151" s="12"/>
      <c r="Y151" s="12"/>
      <c r="Z151" s="12"/>
    </row>
    <row r="152" spans="1:26" x14ac:dyDescent="0.3">
      <c r="A152" s="6" t="s">
        <v>604</v>
      </c>
      <c r="B152" s="12"/>
      <c r="C152" s="12"/>
      <c r="D152" s="12" t="str">
        <f t="shared" si="10"/>
        <v/>
      </c>
      <c r="E152" s="12"/>
      <c r="F152" s="12"/>
      <c r="G152" s="12"/>
      <c r="H152" s="12" t="str">
        <f t="shared" si="11"/>
        <v/>
      </c>
      <c r="I152" s="12"/>
      <c r="J152" s="12"/>
      <c r="K152" s="12"/>
      <c r="L152" s="12"/>
      <c r="M152" s="12" t="str">
        <f t="shared" si="12"/>
        <v/>
      </c>
      <c r="N152" s="12"/>
      <c r="O152" s="12"/>
      <c r="P152" s="12"/>
      <c r="Q152" s="12" t="str">
        <f t="shared" si="13"/>
        <v/>
      </c>
      <c r="R152" s="12"/>
      <c r="S152" s="12"/>
      <c r="T152" s="12"/>
      <c r="U152" s="12"/>
      <c r="V152" s="12"/>
      <c r="W152" s="12"/>
      <c r="X152" s="12"/>
      <c r="Y152" s="12"/>
      <c r="Z152" s="12"/>
    </row>
    <row r="153" spans="1:26" x14ac:dyDescent="0.3">
      <c r="A153" s="6" t="s">
        <v>605</v>
      </c>
      <c r="B153" s="12"/>
      <c r="C153" s="12"/>
      <c r="D153" s="12" t="str">
        <f t="shared" si="10"/>
        <v/>
      </c>
      <c r="E153" s="12"/>
      <c r="F153" s="12"/>
      <c r="G153" s="12"/>
      <c r="H153" s="12" t="str">
        <f t="shared" si="11"/>
        <v/>
      </c>
      <c r="I153" s="12"/>
      <c r="J153" s="12"/>
      <c r="K153" s="12"/>
      <c r="L153" s="12"/>
      <c r="M153" s="12" t="str">
        <f t="shared" si="12"/>
        <v/>
      </c>
      <c r="N153" s="12"/>
      <c r="O153" s="12"/>
      <c r="P153" s="12"/>
      <c r="Q153" s="12" t="str">
        <f t="shared" si="13"/>
        <v/>
      </c>
      <c r="R153" s="12"/>
      <c r="S153" s="12"/>
      <c r="T153" s="12"/>
      <c r="U153" s="12"/>
      <c r="V153" s="12"/>
      <c r="W153" s="12"/>
      <c r="X153" s="12"/>
      <c r="Y153" s="12"/>
      <c r="Z153" s="12"/>
    </row>
    <row r="154" spans="1:26" x14ac:dyDescent="0.3">
      <c r="A154" s="6" t="s">
        <v>606</v>
      </c>
      <c r="B154" s="12"/>
      <c r="C154" s="12"/>
      <c r="D154" s="12" t="str">
        <f t="shared" si="10"/>
        <v/>
      </c>
      <c r="E154" s="12"/>
      <c r="F154" s="12"/>
      <c r="G154" s="12"/>
      <c r="H154" s="12" t="str">
        <f t="shared" si="11"/>
        <v/>
      </c>
      <c r="I154" s="12"/>
      <c r="J154" s="12"/>
      <c r="K154" s="12"/>
      <c r="L154" s="12"/>
      <c r="M154" s="12" t="str">
        <f t="shared" si="12"/>
        <v/>
      </c>
      <c r="N154" s="12"/>
      <c r="O154" s="12"/>
      <c r="P154" s="12"/>
      <c r="Q154" s="12" t="str">
        <f t="shared" si="13"/>
        <v/>
      </c>
      <c r="R154" s="12"/>
      <c r="S154" s="12"/>
      <c r="T154" s="12"/>
      <c r="U154" s="12"/>
      <c r="V154" s="12"/>
      <c r="W154" s="12"/>
      <c r="X154" s="12"/>
      <c r="Y154" s="12"/>
      <c r="Z154" s="12"/>
    </row>
    <row r="155" spans="1:26" x14ac:dyDescent="0.3">
      <c r="A155" s="6" t="s">
        <v>607</v>
      </c>
      <c r="B155" s="12"/>
      <c r="C155" s="12"/>
      <c r="D155" s="12" t="str">
        <f t="shared" si="10"/>
        <v/>
      </c>
      <c r="E155" s="12"/>
      <c r="F155" s="12"/>
      <c r="G155" s="12"/>
      <c r="H155" s="12" t="str">
        <f t="shared" si="11"/>
        <v/>
      </c>
      <c r="I155" s="12"/>
      <c r="J155" s="12"/>
      <c r="K155" s="12"/>
      <c r="L155" s="12"/>
      <c r="M155" s="12" t="str">
        <f t="shared" si="12"/>
        <v/>
      </c>
      <c r="N155" s="12"/>
      <c r="O155" s="12"/>
      <c r="P155" s="12"/>
      <c r="Q155" s="12" t="str">
        <f t="shared" si="13"/>
        <v/>
      </c>
      <c r="R155" s="12"/>
      <c r="S155" s="12"/>
      <c r="T155" s="12"/>
      <c r="U155" s="12"/>
      <c r="V155" s="12"/>
      <c r="W155" s="12"/>
      <c r="X155" s="12"/>
      <c r="Y155" s="12"/>
      <c r="Z155" s="12"/>
    </row>
    <row r="156" spans="1:26" x14ac:dyDescent="0.3">
      <c r="A156" s="6" t="s">
        <v>608</v>
      </c>
      <c r="B156" s="12"/>
      <c r="C156" s="12"/>
      <c r="D156" s="12" t="str">
        <f t="shared" si="10"/>
        <v/>
      </c>
      <c r="E156" s="12"/>
      <c r="F156" s="12"/>
      <c r="G156" s="12"/>
      <c r="H156" s="12" t="str">
        <f t="shared" si="11"/>
        <v/>
      </c>
      <c r="I156" s="12"/>
      <c r="J156" s="12"/>
      <c r="K156" s="12"/>
      <c r="L156" s="12"/>
      <c r="M156" s="12" t="str">
        <f t="shared" si="12"/>
        <v/>
      </c>
      <c r="N156" s="12"/>
      <c r="O156" s="12"/>
      <c r="P156" s="12"/>
      <c r="Q156" s="12" t="str">
        <f t="shared" si="13"/>
        <v/>
      </c>
      <c r="R156" s="12"/>
      <c r="S156" s="12"/>
      <c r="T156" s="12"/>
      <c r="U156" s="12"/>
      <c r="V156" s="12"/>
      <c r="W156" s="12"/>
      <c r="X156" s="12"/>
      <c r="Y156" s="12"/>
      <c r="Z156" s="12"/>
    </row>
    <row r="157" spans="1:26" x14ac:dyDescent="0.3">
      <c r="A157" s="6" t="s">
        <v>609</v>
      </c>
      <c r="B157" s="12"/>
      <c r="C157" s="12"/>
      <c r="D157" s="12" t="str">
        <f t="shared" si="10"/>
        <v/>
      </c>
      <c r="E157" s="12"/>
      <c r="F157" s="12"/>
      <c r="G157" s="12"/>
      <c r="H157" s="12" t="str">
        <f t="shared" si="11"/>
        <v/>
      </c>
      <c r="I157" s="12"/>
      <c r="J157" s="12"/>
      <c r="K157" s="12"/>
      <c r="L157" s="12"/>
      <c r="M157" s="12" t="str">
        <f t="shared" si="12"/>
        <v/>
      </c>
      <c r="N157" s="12"/>
      <c r="O157" s="12"/>
      <c r="P157" s="12"/>
      <c r="Q157" s="12" t="str">
        <f t="shared" si="13"/>
        <v/>
      </c>
      <c r="R157" s="12"/>
      <c r="S157" s="12"/>
      <c r="T157" s="12"/>
      <c r="U157" s="12"/>
      <c r="V157" s="12"/>
      <c r="W157" s="12"/>
      <c r="X157" s="12"/>
      <c r="Y157" s="12"/>
      <c r="Z157" s="12"/>
    </row>
    <row r="158" spans="1:26" x14ac:dyDescent="0.3">
      <c r="A158" s="6" t="s">
        <v>610</v>
      </c>
      <c r="B158" s="12"/>
      <c r="C158" s="12"/>
      <c r="D158" s="12" t="str">
        <f t="shared" si="10"/>
        <v/>
      </c>
      <c r="E158" s="12"/>
      <c r="F158" s="12"/>
      <c r="G158" s="12"/>
      <c r="H158" s="12" t="str">
        <f t="shared" si="11"/>
        <v/>
      </c>
      <c r="I158" s="12"/>
      <c r="J158" s="12"/>
      <c r="K158" s="12"/>
      <c r="L158" s="12"/>
      <c r="M158" s="12" t="str">
        <f t="shared" si="12"/>
        <v/>
      </c>
      <c r="N158" s="12"/>
      <c r="O158" s="12"/>
      <c r="P158" s="12"/>
      <c r="Q158" s="12" t="str">
        <f t="shared" si="13"/>
        <v/>
      </c>
      <c r="R158" s="12"/>
      <c r="S158" s="12"/>
      <c r="T158" s="12"/>
      <c r="U158" s="12"/>
      <c r="V158" s="12"/>
      <c r="W158" s="12"/>
      <c r="X158" s="12"/>
      <c r="Y158" s="12"/>
      <c r="Z158" s="12"/>
    </row>
    <row r="159" spans="1:26" x14ac:dyDescent="0.3">
      <c r="A159" s="6" t="s">
        <v>611</v>
      </c>
      <c r="B159" s="12"/>
      <c r="C159" s="12"/>
      <c r="D159" s="12" t="str">
        <f t="shared" si="10"/>
        <v/>
      </c>
      <c r="E159" s="12"/>
      <c r="F159" s="12"/>
      <c r="G159" s="12"/>
      <c r="H159" s="12" t="str">
        <f t="shared" si="11"/>
        <v/>
      </c>
      <c r="I159" s="12"/>
      <c r="J159" s="12"/>
      <c r="K159" s="12"/>
      <c r="L159" s="12"/>
      <c r="M159" s="12" t="str">
        <f t="shared" si="12"/>
        <v/>
      </c>
      <c r="N159" s="12"/>
      <c r="O159" s="12"/>
      <c r="P159" s="12"/>
      <c r="Q159" s="12" t="str">
        <f t="shared" si="13"/>
        <v/>
      </c>
      <c r="R159" s="12"/>
      <c r="S159" s="12"/>
      <c r="T159" s="12"/>
      <c r="U159" s="12"/>
      <c r="V159" s="12"/>
      <c r="W159" s="12"/>
      <c r="X159" s="12"/>
      <c r="Y159" s="12"/>
      <c r="Z159" s="12"/>
    </row>
    <row r="160" spans="1:26" x14ac:dyDescent="0.3">
      <c r="A160" s="6" t="s">
        <v>612</v>
      </c>
      <c r="B160" s="12"/>
      <c r="C160" s="12"/>
      <c r="D160" s="12" t="str">
        <f t="shared" si="10"/>
        <v/>
      </c>
      <c r="E160" s="12"/>
      <c r="F160" s="12"/>
      <c r="G160" s="12"/>
      <c r="H160" s="12" t="str">
        <f t="shared" si="11"/>
        <v/>
      </c>
      <c r="I160" s="12"/>
      <c r="J160" s="12"/>
      <c r="K160" s="12"/>
      <c r="L160" s="12"/>
      <c r="M160" s="12" t="str">
        <f t="shared" si="12"/>
        <v/>
      </c>
      <c r="N160" s="12"/>
      <c r="O160" s="12"/>
      <c r="P160" s="12"/>
      <c r="Q160" s="12" t="str">
        <f t="shared" si="13"/>
        <v/>
      </c>
      <c r="R160" s="12"/>
      <c r="S160" s="12"/>
      <c r="T160" s="12"/>
      <c r="U160" s="12"/>
      <c r="V160" s="12"/>
      <c r="W160" s="12"/>
      <c r="X160" s="12"/>
      <c r="Y160" s="12"/>
      <c r="Z160" s="12"/>
    </row>
    <row r="161" spans="1:26" x14ac:dyDescent="0.3">
      <c r="A161" s="6" t="s">
        <v>613</v>
      </c>
      <c r="B161" s="12"/>
      <c r="C161" s="12"/>
      <c r="D161" s="12" t="str">
        <f t="shared" si="10"/>
        <v/>
      </c>
      <c r="E161" s="12"/>
      <c r="F161" s="12"/>
      <c r="G161" s="12"/>
      <c r="H161" s="12" t="str">
        <f t="shared" si="11"/>
        <v/>
      </c>
      <c r="I161" s="12"/>
      <c r="J161" s="12"/>
      <c r="K161" s="12"/>
      <c r="L161" s="12"/>
      <c r="M161" s="12" t="str">
        <f t="shared" si="12"/>
        <v/>
      </c>
      <c r="N161" s="12"/>
      <c r="O161" s="12"/>
      <c r="P161" s="12"/>
      <c r="Q161" s="12" t="str">
        <f t="shared" si="13"/>
        <v/>
      </c>
      <c r="R161" s="12"/>
      <c r="S161" s="12"/>
      <c r="T161" s="12"/>
      <c r="U161" s="12"/>
      <c r="V161" s="12"/>
      <c r="W161" s="12"/>
      <c r="X161" s="12"/>
      <c r="Y161" s="12"/>
      <c r="Z161" s="12"/>
    </row>
    <row r="162" spans="1:26" x14ac:dyDescent="0.3">
      <c r="A162" s="6" t="s">
        <v>614</v>
      </c>
      <c r="B162" s="12"/>
      <c r="C162" s="12"/>
      <c r="D162" s="12" t="str">
        <f t="shared" si="10"/>
        <v/>
      </c>
      <c r="E162" s="12"/>
      <c r="F162" s="12"/>
      <c r="G162" s="12"/>
      <c r="H162" s="12" t="str">
        <f t="shared" si="11"/>
        <v/>
      </c>
      <c r="I162" s="12"/>
      <c r="J162" s="12"/>
      <c r="K162" s="12"/>
      <c r="L162" s="12"/>
      <c r="M162" s="12" t="str">
        <f t="shared" si="12"/>
        <v/>
      </c>
      <c r="N162" s="12"/>
      <c r="O162" s="12"/>
      <c r="P162" s="12"/>
      <c r="Q162" s="12" t="str">
        <f t="shared" si="13"/>
        <v/>
      </c>
      <c r="R162" s="12"/>
      <c r="S162" s="12"/>
      <c r="T162" s="12"/>
      <c r="U162" s="12"/>
      <c r="V162" s="12"/>
      <c r="W162" s="12"/>
      <c r="X162" s="12"/>
      <c r="Y162" s="12"/>
      <c r="Z162" s="12"/>
    </row>
    <row r="163" spans="1:26" x14ac:dyDescent="0.3">
      <c r="A163" s="6" t="s">
        <v>615</v>
      </c>
      <c r="B163" s="12"/>
      <c r="C163" s="12"/>
      <c r="D163" s="12" t="str">
        <f t="shared" si="10"/>
        <v/>
      </c>
      <c r="E163" s="12"/>
      <c r="F163" s="12"/>
      <c r="G163" s="12"/>
      <c r="H163" s="12" t="str">
        <f t="shared" si="11"/>
        <v/>
      </c>
      <c r="I163" s="12"/>
      <c r="J163" s="12"/>
      <c r="K163" s="12"/>
      <c r="L163" s="12"/>
      <c r="M163" s="12" t="str">
        <f t="shared" si="12"/>
        <v/>
      </c>
      <c r="N163" s="12"/>
      <c r="O163" s="12"/>
      <c r="P163" s="12"/>
      <c r="Q163" s="12" t="str">
        <f t="shared" si="13"/>
        <v/>
      </c>
      <c r="R163" s="12"/>
      <c r="S163" s="12"/>
      <c r="T163" s="12"/>
      <c r="U163" s="12"/>
      <c r="V163" s="12"/>
      <c r="W163" s="12"/>
      <c r="X163" s="12"/>
      <c r="Y163" s="12"/>
      <c r="Z163" s="12"/>
    </row>
    <row r="164" spans="1:26" x14ac:dyDescent="0.3">
      <c r="A164" s="6" t="s">
        <v>616</v>
      </c>
      <c r="B164" s="12"/>
      <c r="C164" s="12"/>
      <c r="D164" s="12" t="str">
        <f t="shared" si="10"/>
        <v/>
      </c>
      <c r="E164" s="12"/>
      <c r="F164" s="12"/>
      <c r="G164" s="12"/>
      <c r="H164" s="12" t="str">
        <f t="shared" si="11"/>
        <v/>
      </c>
      <c r="I164" s="12"/>
      <c r="J164" s="12"/>
      <c r="K164" s="12"/>
      <c r="L164" s="12"/>
      <c r="M164" s="12" t="str">
        <f t="shared" si="12"/>
        <v/>
      </c>
      <c r="N164" s="12"/>
      <c r="O164" s="12"/>
      <c r="P164" s="12"/>
      <c r="Q164" s="12" t="str">
        <f t="shared" si="13"/>
        <v/>
      </c>
      <c r="R164" s="12"/>
      <c r="S164" s="12"/>
      <c r="T164" s="12"/>
      <c r="U164" s="12"/>
      <c r="V164" s="12"/>
      <c r="W164" s="12"/>
      <c r="X164" s="12"/>
      <c r="Y164" s="12"/>
      <c r="Z164" s="12"/>
    </row>
    <row r="165" spans="1:26" x14ac:dyDescent="0.3">
      <c r="A165" s="6" t="s">
        <v>617</v>
      </c>
      <c r="B165" s="12"/>
      <c r="C165" s="12"/>
      <c r="D165" s="12" t="str">
        <f t="shared" si="10"/>
        <v/>
      </c>
      <c r="E165" s="12"/>
      <c r="F165" s="12"/>
      <c r="G165" s="12"/>
      <c r="H165" s="12" t="str">
        <f t="shared" si="11"/>
        <v/>
      </c>
      <c r="I165" s="12"/>
      <c r="J165" s="12"/>
      <c r="K165" s="12"/>
      <c r="L165" s="12"/>
      <c r="M165" s="12" t="str">
        <f t="shared" si="12"/>
        <v/>
      </c>
      <c r="N165" s="12"/>
      <c r="O165" s="12"/>
      <c r="P165" s="12"/>
      <c r="Q165" s="12" t="str">
        <f t="shared" si="13"/>
        <v/>
      </c>
      <c r="R165" s="12"/>
      <c r="S165" s="12"/>
      <c r="T165" s="12"/>
      <c r="U165" s="12"/>
      <c r="V165" s="12"/>
      <c r="W165" s="12"/>
      <c r="X165" s="12"/>
      <c r="Y165" s="12"/>
      <c r="Z165" s="12"/>
    </row>
    <row r="166" spans="1:26" x14ac:dyDescent="0.3">
      <c r="A166" s="6" t="s">
        <v>618</v>
      </c>
      <c r="B166" s="12"/>
      <c r="C166" s="12"/>
      <c r="D166" s="12" t="str">
        <f t="shared" si="10"/>
        <v/>
      </c>
      <c r="E166" s="12"/>
      <c r="F166" s="12"/>
      <c r="G166" s="12"/>
      <c r="H166" s="12" t="str">
        <f t="shared" si="11"/>
        <v/>
      </c>
      <c r="I166" s="12"/>
      <c r="J166" s="12"/>
      <c r="K166" s="12"/>
      <c r="L166" s="12"/>
      <c r="M166" s="12" t="str">
        <f t="shared" si="12"/>
        <v/>
      </c>
      <c r="N166" s="12"/>
      <c r="O166" s="12"/>
      <c r="P166" s="12"/>
      <c r="Q166" s="12" t="str">
        <f t="shared" si="13"/>
        <v/>
      </c>
      <c r="R166" s="12"/>
      <c r="S166" s="12"/>
      <c r="T166" s="12"/>
      <c r="U166" s="12"/>
      <c r="V166" s="12"/>
      <c r="W166" s="12"/>
      <c r="X166" s="12"/>
      <c r="Y166" s="12"/>
      <c r="Z166" s="12"/>
    </row>
    <row r="167" spans="1:26" x14ac:dyDescent="0.3">
      <c r="A167" s="6" t="s">
        <v>619</v>
      </c>
      <c r="B167" s="12"/>
      <c r="C167" s="12"/>
      <c r="D167" s="12" t="str">
        <f t="shared" si="10"/>
        <v/>
      </c>
      <c r="E167" s="12"/>
      <c r="F167" s="12"/>
      <c r="G167" s="12"/>
      <c r="H167" s="12" t="str">
        <f t="shared" si="11"/>
        <v/>
      </c>
      <c r="I167" s="12"/>
      <c r="J167" s="12"/>
      <c r="K167" s="12"/>
      <c r="L167" s="12"/>
      <c r="M167" s="12" t="str">
        <f t="shared" si="12"/>
        <v/>
      </c>
      <c r="N167" s="12"/>
      <c r="O167" s="12"/>
      <c r="P167" s="12"/>
      <c r="Q167" s="12" t="str">
        <f t="shared" si="13"/>
        <v/>
      </c>
      <c r="R167" s="12"/>
      <c r="S167" s="12"/>
      <c r="T167" s="12"/>
      <c r="U167" s="12"/>
      <c r="V167" s="12"/>
      <c r="W167" s="12"/>
      <c r="X167" s="12"/>
      <c r="Y167" s="12"/>
      <c r="Z167" s="12"/>
    </row>
    <row r="168" spans="1:26" x14ac:dyDescent="0.3">
      <c r="A168" s="6" t="s">
        <v>620</v>
      </c>
      <c r="B168" s="12"/>
      <c r="C168" s="12"/>
      <c r="D168" s="12" t="str">
        <f t="shared" si="10"/>
        <v/>
      </c>
      <c r="E168" s="12"/>
      <c r="F168" s="12"/>
      <c r="G168" s="12"/>
      <c r="H168" s="12" t="str">
        <f t="shared" si="11"/>
        <v/>
      </c>
      <c r="I168" s="12"/>
      <c r="J168" s="12"/>
      <c r="K168" s="12"/>
      <c r="L168" s="12"/>
      <c r="M168" s="12" t="str">
        <f t="shared" si="12"/>
        <v/>
      </c>
      <c r="N168" s="12"/>
      <c r="O168" s="12"/>
      <c r="P168" s="12"/>
      <c r="Q168" s="12" t="str">
        <f t="shared" si="13"/>
        <v/>
      </c>
      <c r="R168" s="12"/>
      <c r="S168" s="12"/>
      <c r="T168" s="12"/>
      <c r="U168" s="12"/>
      <c r="V168" s="12"/>
      <c r="W168" s="12"/>
      <c r="X168" s="12"/>
      <c r="Y168" s="12"/>
      <c r="Z168" s="12"/>
    </row>
    <row r="169" spans="1:26" x14ac:dyDescent="0.3">
      <c r="A169" s="6" t="s">
        <v>621</v>
      </c>
      <c r="B169" s="12"/>
      <c r="C169" s="12"/>
      <c r="D169" s="12" t="str">
        <f t="shared" si="10"/>
        <v/>
      </c>
      <c r="E169" s="12"/>
      <c r="F169" s="12"/>
      <c r="G169" s="12"/>
      <c r="H169" s="12" t="str">
        <f t="shared" si="11"/>
        <v/>
      </c>
      <c r="I169" s="12"/>
      <c r="J169" s="12"/>
      <c r="K169" s="12"/>
      <c r="L169" s="12"/>
      <c r="M169" s="12" t="str">
        <f t="shared" si="12"/>
        <v/>
      </c>
      <c r="N169" s="12"/>
      <c r="O169" s="12"/>
      <c r="P169" s="12"/>
      <c r="Q169" s="12" t="str">
        <f t="shared" si="13"/>
        <v/>
      </c>
      <c r="R169" s="12"/>
      <c r="S169" s="12"/>
      <c r="T169" s="12"/>
      <c r="U169" s="12"/>
      <c r="V169" s="12"/>
      <c r="W169" s="12"/>
      <c r="X169" s="12"/>
      <c r="Y169" s="12"/>
      <c r="Z169" s="12"/>
    </row>
    <row r="170" spans="1:26" x14ac:dyDescent="0.3">
      <c r="A170" s="6" t="s">
        <v>622</v>
      </c>
      <c r="B170" s="12"/>
      <c r="C170" s="12"/>
      <c r="D170" s="12" t="str">
        <f t="shared" si="10"/>
        <v/>
      </c>
      <c r="E170" s="12"/>
      <c r="F170" s="12"/>
      <c r="G170" s="12"/>
      <c r="H170" s="12" t="str">
        <f t="shared" si="11"/>
        <v/>
      </c>
      <c r="I170" s="12"/>
      <c r="J170" s="12"/>
      <c r="K170" s="12"/>
      <c r="L170" s="12"/>
      <c r="M170" s="12" t="str">
        <f t="shared" si="12"/>
        <v/>
      </c>
      <c r="N170" s="12"/>
      <c r="O170" s="12"/>
      <c r="P170" s="12"/>
      <c r="Q170" s="12" t="str">
        <f t="shared" si="13"/>
        <v/>
      </c>
      <c r="R170" s="12"/>
      <c r="S170" s="12"/>
      <c r="T170" s="12"/>
      <c r="U170" s="12"/>
      <c r="V170" s="12"/>
      <c r="W170" s="12"/>
      <c r="X170" s="12"/>
      <c r="Y170" s="12"/>
      <c r="Z170" s="12"/>
    </row>
    <row r="171" spans="1:26" x14ac:dyDescent="0.3">
      <c r="A171" s="6" t="s">
        <v>623</v>
      </c>
      <c r="B171" s="12"/>
      <c r="C171" s="12"/>
      <c r="D171" s="12" t="str">
        <f t="shared" si="10"/>
        <v/>
      </c>
      <c r="E171" s="12"/>
      <c r="F171" s="12"/>
      <c r="G171" s="12"/>
      <c r="H171" s="12" t="str">
        <f t="shared" si="11"/>
        <v/>
      </c>
      <c r="I171" s="12"/>
      <c r="J171" s="12"/>
      <c r="K171" s="12"/>
      <c r="L171" s="12"/>
      <c r="M171" s="12" t="str">
        <f t="shared" si="12"/>
        <v/>
      </c>
      <c r="N171" s="12"/>
      <c r="O171" s="12"/>
      <c r="P171" s="12"/>
      <c r="Q171" s="12" t="str">
        <f t="shared" si="13"/>
        <v/>
      </c>
      <c r="R171" s="12"/>
      <c r="S171" s="12"/>
      <c r="T171" s="12"/>
      <c r="U171" s="12"/>
      <c r="V171" s="12"/>
      <c r="W171" s="12"/>
      <c r="X171" s="12"/>
      <c r="Y171" s="12"/>
      <c r="Z171" s="12"/>
    </row>
    <row r="172" spans="1:26" x14ac:dyDescent="0.3">
      <c r="A172" s="6" t="s">
        <v>624</v>
      </c>
      <c r="B172" s="12"/>
      <c r="C172" s="12"/>
      <c r="D172" s="12" t="str">
        <f t="shared" si="10"/>
        <v/>
      </c>
      <c r="E172" s="12"/>
      <c r="F172" s="12"/>
      <c r="G172" s="12"/>
      <c r="H172" s="12" t="str">
        <f t="shared" si="11"/>
        <v/>
      </c>
      <c r="I172" s="12"/>
      <c r="J172" s="12"/>
      <c r="K172" s="12"/>
      <c r="L172" s="12"/>
      <c r="M172" s="12" t="str">
        <f t="shared" si="12"/>
        <v/>
      </c>
      <c r="N172" s="12"/>
      <c r="O172" s="12"/>
      <c r="P172" s="12"/>
      <c r="Q172" s="12" t="str">
        <f t="shared" si="13"/>
        <v/>
      </c>
      <c r="R172" s="12"/>
      <c r="S172" s="12"/>
      <c r="T172" s="12"/>
      <c r="U172" s="12"/>
      <c r="V172" s="12"/>
      <c r="W172" s="12"/>
      <c r="X172" s="12"/>
      <c r="Y172" s="12"/>
      <c r="Z172" s="12"/>
    </row>
    <row r="173" spans="1:26" x14ac:dyDescent="0.3">
      <c r="A173" s="6" t="s">
        <v>625</v>
      </c>
      <c r="B173" s="12"/>
      <c r="C173" s="12"/>
      <c r="D173" s="12" t="str">
        <f t="shared" si="10"/>
        <v/>
      </c>
      <c r="E173" s="12"/>
      <c r="F173" s="12"/>
      <c r="G173" s="12"/>
      <c r="H173" s="12" t="str">
        <f t="shared" si="11"/>
        <v/>
      </c>
      <c r="I173" s="12"/>
      <c r="J173" s="12"/>
      <c r="K173" s="12"/>
      <c r="L173" s="12"/>
      <c r="M173" s="12" t="str">
        <f t="shared" si="12"/>
        <v/>
      </c>
      <c r="N173" s="12"/>
      <c r="O173" s="12"/>
      <c r="P173" s="12"/>
      <c r="Q173" s="12" t="str">
        <f t="shared" si="13"/>
        <v/>
      </c>
      <c r="R173" s="12"/>
      <c r="S173" s="12"/>
      <c r="T173" s="12"/>
      <c r="U173" s="12"/>
      <c r="V173" s="12"/>
      <c r="W173" s="12"/>
      <c r="X173" s="12"/>
      <c r="Y173" s="12"/>
      <c r="Z173" s="12"/>
    </row>
    <row r="174" spans="1:26" x14ac:dyDescent="0.3">
      <c r="A174" s="6" t="s">
        <v>626</v>
      </c>
      <c r="B174" s="12"/>
      <c r="C174" s="12"/>
      <c r="D174" s="12" t="str">
        <f t="shared" si="10"/>
        <v/>
      </c>
      <c r="E174" s="12"/>
      <c r="F174" s="12"/>
      <c r="G174" s="12"/>
      <c r="H174" s="12" t="str">
        <f t="shared" si="11"/>
        <v/>
      </c>
      <c r="I174" s="12"/>
      <c r="J174" s="12"/>
      <c r="K174" s="12"/>
      <c r="L174" s="12"/>
      <c r="M174" s="12" t="str">
        <f t="shared" si="12"/>
        <v/>
      </c>
      <c r="N174" s="12"/>
      <c r="O174" s="12"/>
      <c r="P174" s="12"/>
      <c r="Q174" s="12" t="str">
        <f t="shared" si="13"/>
        <v/>
      </c>
      <c r="R174" s="12"/>
      <c r="S174" s="12"/>
      <c r="T174" s="12"/>
      <c r="U174" s="12"/>
      <c r="V174" s="12"/>
      <c r="W174" s="12"/>
      <c r="X174" s="12"/>
      <c r="Y174" s="12"/>
      <c r="Z174" s="12"/>
    </row>
    <row r="175" spans="1:26" x14ac:dyDescent="0.3">
      <c r="A175" s="6" t="s">
        <v>627</v>
      </c>
      <c r="B175" s="12"/>
      <c r="C175" s="12"/>
      <c r="D175" s="12" t="str">
        <f t="shared" si="10"/>
        <v/>
      </c>
      <c r="E175" s="12"/>
      <c r="F175" s="12"/>
      <c r="G175" s="12"/>
      <c r="H175" s="12" t="str">
        <f t="shared" si="11"/>
        <v/>
      </c>
      <c r="I175" s="12"/>
      <c r="J175" s="12"/>
      <c r="K175" s="12"/>
      <c r="L175" s="12"/>
      <c r="M175" s="12" t="str">
        <f t="shared" si="12"/>
        <v/>
      </c>
      <c r="N175" s="12"/>
      <c r="O175" s="12"/>
      <c r="P175" s="12"/>
      <c r="Q175" s="12" t="str">
        <f t="shared" si="13"/>
        <v/>
      </c>
      <c r="R175" s="12"/>
      <c r="S175" s="12"/>
      <c r="T175" s="12"/>
      <c r="U175" s="12"/>
      <c r="V175" s="12"/>
      <c r="W175" s="12"/>
      <c r="X175" s="12"/>
      <c r="Y175" s="12"/>
      <c r="Z175" s="12"/>
    </row>
    <row r="176" spans="1:26" x14ac:dyDescent="0.3">
      <c r="A176" s="6" t="s">
        <v>628</v>
      </c>
      <c r="B176" s="12"/>
      <c r="C176" s="12"/>
      <c r="D176" s="12" t="str">
        <f t="shared" si="10"/>
        <v/>
      </c>
      <c r="E176" s="12"/>
      <c r="F176" s="12"/>
      <c r="G176" s="12"/>
      <c r="H176" s="12" t="str">
        <f t="shared" si="11"/>
        <v/>
      </c>
      <c r="I176" s="12"/>
      <c r="J176" s="12"/>
      <c r="K176" s="12"/>
      <c r="L176" s="12"/>
      <c r="M176" s="12" t="str">
        <f t="shared" si="12"/>
        <v/>
      </c>
      <c r="N176" s="12"/>
      <c r="O176" s="12"/>
      <c r="P176" s="12"/>
      <c r="Q176" s="12" t="str">
        <f t="shared" si="13"/>
        <v/>
      </c>
      <c r="R176" s="12"/>
      <c r="S176" s="12"/>
      <c r="T176" s="12"/>
      <c r="U176" s="12"/>
      <c r="V176" s="12"/>
      <c r="W176" s="12"/>
      <c r="X176" s="12"/>
      <c r="Y176" s="12"/>
      <c r="Z176" s="12"/>
    </row>
    <row r="177" spans="1:26" x14ac:dyDescent="0.3">
      <c r="A177" s="6" t="s">
        <v>629</v>
      </c>
      <c r="B177" s="12"/>
      <c r="C177" s="12"/>
      <c r="D177" s="12" t="str">
        <f t="shared" si="10"/>
        <v/>
      </c>
      <c r="E177" s="12"/>
      <c r="F177" s="12"/>
      <c r="G177" s="12"/>
      <c r="H177" s="12" t="str">
        <f t="shared" si="11"/>
        <v/>
      </c>
      <c r="I177" s="12"/>
      <c r="J177" s="12"/>
      <c r="K177" s="12"/>
      <c r="L177" s="12"/>
      <c r="M177" s="12" t="str">
        <f t="shared" si="12"/>
        <v/>
      </c>
      <c r="N177" s="12"/>
      <c r="O177" s="12"/>
      <c r="P177" s="12"/>
      <c r="Q177" s="12" t="str">
        <f t="shared" si="13"/>
        <v/>
      </c>
      <c r="R177" s="12"/>
      <c r="S177" s="12"/>
      <c r="T177" s="12"/>
      <c r="U177" s="12"/>
      <c r="V177" s="12"/>
      <c r="W177" s="12"/>
      <c r="X177" s="12"/>
      <c r="Y177" s="12"/>
      <c r="Z177" s="12"/>
    </row>
    <row r="178" spans="1:26" x14ac:dyDescent="0.3">
      <c r="A178" s="6" t="s">
        <v>630</v>
      </c>
      <c r="B178" s="12"/>
      <c r="C178" s="12"/>
      <c r="D178" s="12" t="str">
        <f t="shared" si="10"/>
        <v/>
      </c>
      <c r="E178" s="12"/>
      <c r="F178" s="12"/>
      <c r="G178" s="12"/>
      <c r="H178" s="12" t="str">
        <f t="shared" si="11"/>
        <v/>
      </c>
      <c r="I178" s="12"/>
      <c r="J178" s="12"/>
      <c r="K178" s="12"/>
      <c r="L178" s="12"/>
      <c r="M178" s="12" t="str">
        <f t="shared" si="12"/>
        <v/>
      </c>
      <c r="N178" s="12"/>
      <c r="O178" s="12"/>
      <c r="P178" s="12"/>
      <c r="Q178" s="12" t="str">
        <f t="shared" si="13"/>
        <v/>
      </c>
      <c r="R178" s="12"/>
      <c r="S178" s="12"/>
      <c r="T178" s="12"/>
      <c r="U178" s="12"/>
      <c r="V178" s="12"/>
      <c r="W178" s="12"/>
      <c r="X178" s="12"/>
      <c r="Y178" s="12"/>
      <c r="Z178" s="12"/>
    </row>
    <row r="179" spans="1:26" x14ac:dyDescent="0.3">
      <c r="A179" s="6" t="s">
        <v>631</v>
      </c>
      <c r="B179" s="12"/>
      <c r="C179" s="12"/>
      <c r="D179" s="12" t="str">
        <f t="shared" si="10"/>
        <v/>
      </c>
      <c r="E179" s="12"/>
      <c r="F179" s="12"/>
      <c r="G179" s="12"/>
      <c r="H179" s="12" t="str">
        <f t="shared" si="11"/>
        <v/>
      </c>
      <c r="I179" s="12"/>
      <c r="J179" s="12"/>
      <c r="K179" s="12"/>
      <c r="L179" s="12"/>
      <c r="M179" s="12" t="str">
        <f t="shared" si="12"/>
        <v/>
      </c>
      <c r="N179" s="12"/>
      <c r="O179" s="12"/>
      <c r="P179" s="12"/>
      <c r="Q179" s="12" t="str">
        <f t="shared" si="13"/>
        <v/>
      </c>
      <c r="R179" s="12"/>
      <c r="S179" s="12"/>
      <c r="T179" s="12"/>
      <c r="U179" s="12"/>
      <c r="V179" s="12"/>
      <c r="W179" s="12"/>
      <c r="X179" s="12"/>
      <c r="Y179" s="12"/>
      <c r="Z179" s="12"/>
    </row>
    <row r="180" spans="1:26" x14ac:dyDescent="0.3">
      <c r="A180" s="6" t="s">
        <v>632</v>
      </c>
      <c r="B180" s="12"/>
      <c r="C180" s="12"/>
      <c r="D180" s="12" t="str">
        <f t="shared" si="10"/>
        <v/>
      </c>
      <c r="E180" s="12"/>
      <c r="F180" s="12"/>
      <c r="G180" s="12"/>
      <c r="H180" s="12" t="str">
        <f t="shared" si="11"/>
        <v/>
      </c>
      <c r="I180" s="12"/>
      <c r="J180" s="12"/>
      <c r="K180" s="12"/>
      <c r="L180" s="12"/>
      <c r="M180" s="12" t="str">
        <f t="shared" si="12"/>
        <v/>
      </c>
      <c r="N180" s="12"/>
      <c r="O180" s="12"/>
      <c r="P180" s="12"/>
      <c r="Q180" s="12" t="str">
        <f t="shared" si="13"/>
        <v/>
      </c>
      <c r="R180" s="12"/>
      <c r="S180" s="12"/>
      <c r="T180" s="12"/>
      <c r="U180" s="12"/>
      <c r="V180" s="12"/>
      <c r="W180" s="12"/>
      <c r="X180" s="12"/>
      <c r="Y180" s="12"/>
      <c r="Z180" s="12"/>
    </row>
    <row r="181" spans="1:26" x14ac:dyDescent="0.3">
      <c r="A181" s="6" t="s">
        <v>633</v>
      </c>
      <c r="B181" s="12"/>
      <c r="C181" s="12"/>
      <c r="D181" s="12" t="str">
        <f t="shared" si="10"/>
        <v/>
      </c>
      <c r="E181" s="12"/>
      <c r="F181" s="12"/>
      <c r="G181" s="12"/>
      <c r="H181" s="12" t="str">
        <f t="shared" si="11"/>
        <v/>
      </c>
      <c r="I181" s="12"/>
      <c r="J181" s="12"/>
      <c r="K181" s="12"/>
      <c r="L181" s="12"/>
      <c r="M181" s="12" t="str">
        <f t="shared" si="12"/>
        <v/>
      </c>
      <c r="N181" s="12"/>
      <c r="O181" s="12"/>
      <c r="P181" s="12"/>
      <c r="Q181" s="12" t="str">
        <f t="shared" si="13"/>
        <v/>
      </c>
      <c r="R181" s="12"/>
      <c r="S181" s="12"/>
      <c r="T181" s="12"/>
      <c r="U181" s="12"/>
      <c r="V181" s="12"/>
      <c r="W181" s="12"/>
      <c r="X181" s="12"/>
      <c r="Y181" s="12"/>
      <c r="Z181" s="12"/>
    </row>
    <row r="182" spans="1:26" x14ac:dyDescent="0.3">
      <c r="A182" s="6" t="s">
        <v>634</v>
      </c>
      <c r="B182" s="12"/>
      <c r="C182" s="12"/>
      <c r="D182" s="12" t="str">
        <f t="shared" si="10"/>
        <v/>
      </c>
      <c r="E182" s="12"/>
      <c r="F182" s="12"/>
      <c r="G182" s="12"/>
      <c r="H182" s="12" t="str">
        <f t="shared" si="11"/>
        <v/>
      </c>
      <c r="I182" s="12"/>
      <c r="J182" s="12"/>
      <c r="K182" s="12"/>
      <c r="L182" s="12"/>
      <c r="M182" s="12" t="str">
        <f t="shared" si="12"/>
        <v/>
      </c>
      <c r="N182" s="12"/>
      <c r="O182" s="12"/>
      <c r="P182" s="12"/>
      <c r="Q182" s="12" t="str">
        <f t="shared" si="13"/>
        <v/>
      </c>
      <c r="R182" s="12"/>
      <c r="S182" s="12"/>
      <c r="T182" s="12"/>
      <c r="U182" s="12"/>
      <c r="V182" s="12"/>
      <c r="W182" s="12"/>
      <c r="X182" s="12"/>
      <c r="Y182" s="12"/>
      <c r="Z182" s="12"/>
    </row>
    <row r="183" spans="1:26" x14ac:dyDescent="0.3">
      <c r="A183" s="6" t="s">
        <v>635</v>
      </c>
      <c r="B183" s="12"/>
      <c r="C183" s="12"/>
      <c r="D183" s="12" t="str">
        <f t="shared" si="10"/>
        <v/>
      </c>
      <c r="E183" s="12"/>
      <c r="F183" s="12"/>
      <c r="G183" s="12"/>
      <c r="H183" s="12" t="str">
        <f t="shared" si="11"/>
        <v/>
      </c>
      <c r="I183" s="12"/>
      <c r="J183" s="12"/>
      <c r="K183" s="12"/>
      <c r="L183" s="12"/>
      <c r="M183" s="12" t="str">
        <f t="shared" si="12"/>
        <v/>
      </c>
      <c r="N183" s="12"/>
      <c r="O183" s="12"/>
      <c r="P183" s="12"/>
      <c r="Q183" s="12" t="str">
        <f t="shared" si="13"/>
        <v/>
      </c>
      <c r="R183" s="12"/>
      <c r="S183" s="12"/>
      <c r="T183" s="12"/>
      <c r="U183" s="12"/>
      <c r="V183" s="12"/>
      <c r="W183" s="12"/>
      <c r="X183" s="12"/>
      <c r="Y183" s="12"/>
      <c r="Z183" s="12"/>
    </row>
    <row r="184" spans="1:26" x14ac:dyDescent="0.3">
      <c r="A184" s="6" t="s">
        <v>636</v>
      </c>
      <c r="B184" s="12"/>
      <c r="C184" s="12"/>
      <c r="D184" s="12" t="str">
        <f t="shared" si="10"/>
        <v/>
      </c>
      <c r="E184" s="12"/>
      <c r="F184" s="12"/>
      <c r="G184" s="12"/>
      <c r="H184" s="12" t="str">
        <f t="shared" si="11"/>
        <v/>
      </c>
      <c r="I184" s="12"/>
      <c r="J184" s="12"/>
      <c r="K184" s="12"/>
      <c r="L184" s="12"/>
      <c r="M184" s="12" t="str">
        <f t="shared" si="12"/>
        <v/>
      </c>
      <c r="N184" s="12"/>
      <c r="O184" s="12"/>
      <c r="P184" s="12"/>
      <c r="Q184" s="12" t="str">
        <f t="shared" si="13"/>
        <v/>
      </c>
      <c r="R184" s="12"/>
      <c r="S184" s="12"/>
      <c r="T184" s="12"/>
      <c r="U184" s="12"/>
      <c r="V184" s="12"/>
      <c r="W184" s="12"/>
      <c r="X184" s="12"/>
      <c r="Y184" s="12"/>
      <c r="Z184" s="12"/>
    </row>
    <row r="185" spans="1:26" x14ac:dyDescent="0.3">
      <c r="A185" s="6" t="s">
        <v>637</v>
      </c>
      <c r="B185" s="12"/>
      <c r="C185" s="12"/>
      <c r="D185" s="12" t="str">
        <f t="shared" si="10"/>
        <v/>
      </c>
      <c r="E185" s="12"/>
      <c r="F185" s="12"/>
      <c r="G185" s="12"/>
      <c r="H185" s="12" t="str">
        <f t="shared" si="11"/>
        <v/>
      </c>
      <c r="I185" s="12"/>
      <c r="J185" s="12"/>
      <c r="K185" s="12"/>
      <c r="L185" s="12"/>
      <c r="M185" s="12" t="str">
        <f t="shared" si="12"/>
        <v/>
      </c>
      <c r="N185" s="12"/>
      <c r="O185" s="12"/>
      <c r="P185" s="12"/>
      <c r="Q185" s="12" t="str">
        <f t="shared" si="13"/>
        <v/>
      </c>
      <c r="R185" s="12"/>
      <c r="S185" s="12"/>
      <c r="T185" s="12"/>
      <c r="U185" s="12"/>
      <c r="V185" s="12"/>
      <c r="W185" s="12"/>
      <c r="X185" s="12"/>
      <c r="Y185" s="12"/>
      <c r="Z185" s="12"/>
    </row>
    <row r="186" spans="1:26" x14ac:dyDescent="0.3">
      <c r="A186" s="6" t="s">
        <v>638</v>
      </c>
      <c r="B186" s="12"/>
      <c r="C186" s="12"/>
      <c r="D186" s="12" t="str">
        <f t="shared" si="10"/>
        <v/>
      </c>
      <c r="E186" s="12"/>
      <c r="F186" s="12"/>
      <c r="G186" s="12"/>
      <c r="H186" s="12" t="str">
        <f t="shared" si="11"/>
        <v/>
      </c>
      <c r="I186" s="12"/>
      <c r="J186" s="12"/>
      <c r="K186" s="12"/>
      <c r="L186" s="12"/>
      <c r="M186" s="12" t="str">
        <f t="shared" si="12"/>
        <v/>
      </c>
      <c r="N186" s="12"/>
      <c r="O186" s="12"/>
      <c r="P186" s="12"/>
      <c r="Q186" s="12" t="str">
        <f t="shared" si="13"/>
        <v/>
      </c>
      <c r="R186" s="12"/>
      <c r="S186" s="12"/>
      <c r="T186" s="12"/>
      <c r="U186" s="12"/>
      <c r="V186" s="12"/>
      <c r="W186" s="12"/>
      <c r="X186" s="12"/>
      <c r="Y186" s="12"/>
      <c r="Z186" s="12"/>
    </row>
    <row r="187" spans="1:26" x14ac:dyDescent="0.3">
      <c r="A187" s="6" t="s">
        <v>639</v>
      </c>
      <c r="B187" s="12"/>
      <c r="C187" s="12"/>
      <c r="D187" s="12" t="str">
        <f t="shared" si="10"/>
        <v/>
      </c>
      <c r="E187" s="12"/>
      <c r="F187" s="12"/>
      <c r="G187" s="12"/>
      <c r="H187" s="12" t="str">
        <f t="shared" si="11"/>
        <v/>
      </c>
      <c r="I187" s="12"/>
      <c r="J187" s="12"/>
      <c r="K187" s="12"/>
      <c r="L187" s="12"/>
      <c r="M187" s="12" t="str">
        <f t="shared" si="12"/>
        <v/>
      </c>
      <c r="N187" s="12"/>
      <c r="O187" s="12"/>
      <c r="P187" s="12"/>
      <c r="Q187" s="12" t="str">
        <f t="shared" si="13"/>
        <v/>
      </c>
      <c r="R187" s="12"/>
      <c r="S187" s="12"/>
      <c r="T187" s="12"/>
      <c r="U187" s="12"/>
      <c r="V187" s="12"/>
      <c r="W187" s="12"/>
      <c r="X187" s="12"/>
      <c r="Y187" s="12"/>
      <c r="Z187" s="12"/>
    </row>
    <row r="188" spans="1:26" x14ac:dyDescent="0.3">
      <c r="A188" s="6" t="s">
        <v>640</v>
      </c>
      <c r="B188" s="12"/>
      <c r="C188" s="12"/>
      <c r="D188" s="12" t="str">
        <f t="shared" si="10"/>
        <v/>
      </c>
      <c r="E188" s="12"/>
      <c r="F188" s="12"/>
      <c r="G188" s="12"/>
      <c r="H188" s="12" t="str">
        <f t="shared" si="11"/>
        <v/>
      </c>
      <c r="I188" s="12"/>
      <c r="J188" s="12"/>
      <c r="K188" s="12"/>
      <c r="L188" s="12"/>
      <c r="M188" s="12" t="str">
        <f t="shared" si="12"/>
        <v/>
      </c>
      <c r="N188" s="12"/>
      <c r="O188" s="12"/>
      <c r="P188" s="12"/>
      <c r="Q188" s="12" t="str">
        <f t="shared" si="13"/>
        <v/>
      </c>
      <c r="R188" s="12"/>
      <c r="S188" s="12"/>
      <c r="T188" s="12"/>
      <c r="U188" s="12"/>
      <c r="V188" s="12"/>
      <c r="W188" s="12"/>
      <c r="X188" s="12"/>
      <c r="Y188" s="12"/>
      <c r="Z188" s="12"/>
    </row>
    <row r="189" spans="1:26" x14ac:dyDescent="0.3">
      <c r="A189" s="6" t="s">
        <v>641</v>
      </c>
      <c r="B189" s="12"/>
      <c r="C189" s="12"/>
      <c r="D189" s="12" t="str">
        <f t="shared" si="10"/>
        <v/>
      </c>
      <c r="E189" s="12"/>
      <c r="F189" s="12"/>
      <c r="G189" s="12"/>
      <c r="H189" s="12" t="str">
        <f t="shared" si="11"/>
        <v/>
      </c>
      <c r="I189" s="12"/>
      <c r="J189" s="12"/>
      <c r="K189" s="12"/>
      <c r="L189" s="12"/>
      <c r="M189" s="12" t="str">
        <f t="shared" si="12"/>
        <v/>
      </c>
      <c r="N189" s="12"/>
      <c r="O189" s="12"/>
      <c r="P189" s="12"/>
      <c r="Q189" s="12" t="str">
        <f t="shared" si="13"/>
        <v/>
      </c>
      <c r="R189" s="12"/>
      <c r="S189" s="12"/>
      <c r="T189" s="12"/>
      <c r="U189" s="12"/>
      <c r="V189" s="12"/>
      <c r="W189" s="12"/>
      <c r="X189" s="12"/>
      <c r="Y189" s="12"/>
      <c r="Z189" s="12"/>
    </row>
    <row r="190" spans="1:26" x14ac:dyDescent="0.3">
      <c r="A190" s="6" t="s">
        <v>642</v>
      </c>
      <c r="B190" s="12"/>
      <c r="C190" s="12"/>
      <c r="D190" s="12" t="str">
        <f t="shared" si="10"/>
        <v/>
      </c>
      <c r="E190" s="12"/>
      <c r="F190" s="12"/>
      <c r="G190" s="12"/>
      <c r="H190" s="12" t="str">
        <f t="shared" si="11"/>
        <v/>
      </c>
      <c r="I190" s="12"/>
      <c r="J190" s="12"/>
      <c r="K190" s="12"/>
      <c r="L190" s="12"/>
      <c r="M190" s="12" t="str">
        <f t="shared" si="12"/>
        <v/>
      </c>
      <c r="N190" s="12"/>
      <c r="O190" s="12"/>
      <c r="P190" s="12"/>
      <c r="Q190" s="12" t="str">
        <f t="shared" si="13"/>
        <v/>
      </c>
      <c r="R190" s="12"/>
      <c r="S190" s="12"/>
      <c r="T190" s="12"/>
      <c r="U190" s="12"/>
      <c r="V190" s="12"/>
      <c r="W190" s="12"/>
      <c r="X190" s="12"/>
      <c r="Y190" s="12"/>
      <c r="Z190" s="12"/>
    </row>
    <row r="191" spans="1:26" x14ac:dyDescent="0.3">
      <c r="A191" s="6" t="s">
        <v>643</v>
      </c>
      <c r="B191" s="12"/>
      <c r="C191" s="12"/>
      <c r="D191" s="12" t="str">
        <f t="shared" si="10"/>
        <v/>
      </c>
      <c r="E191" s="12"/>
      <c r="F191" s="12"/>
      <c r="G191" s="12"/>
      <c r="H191" s="12" t="str">
        <f t="shared" si="11"/>
        <v/>
      </c>
      <c r="I191" s="12"/>
      <c r="J191" s="12"/>
      <c r="K191" s="12"/>
      <c r="L191" s="12"/>
      <c r="M191" s="12" t="str">
        <f t="shared" si="12"/>
        <v/>
      </c>
      <c r="N191" s="12"/>
      <c r="O191" s="12"/>
      <c r="P191" s="12"/>
      <c r="Q191" s="12" t="str">
        <f t="shared" si="13"/>
        <v/>
      </c>
      <c r="R191" s="12"/>
      <c r="S191" s="12"/>
      <c r="T191" s="12"/>
      <c r="U191" s="12"/>
      <c r="V191" s="12"/>
      <c r="W191" s="12"/>
      <c r="X191" s="12"/>
      <c r="Y191" s="12"/>
      <c r="Z191" s="12"/>
    </row>
    <row r="192" spans="1:26" x14ac:dyDescent="0.3">
      <c r="A192" s="6" t="s">
        <v>644</v>
      </c>
      <c r="B192" s="12"/>
      <c r="C192" s="12"/>
      <c r="D192" s="12" t="str">
        <f t="shared" si="10"/>
        <v/>
      </c>
      <c r="E192" s="12"/>
      <c r="F192" s="12"/>
      <c r="G192" s="12"/>
      <c r="H192" s="12" t="str">
        <f t="shared" si="11"/>
        <v/>
      </c>
      <c r="I192" s="12"/>
      <c r="J192" s="12"/>
      <c r="K192" s="12"/>
      <c r="L192" s="12"/>
      <c r="M192" s="12" t="str">
        <f t="shared" si="12"/>
        <v/>
      </c>
      <c r="N192" s="12"/>
      <c r="O192" s="12"/>
      <c r="P192" s="12"/>
      <c r="Q192" s="12" t="str">
        <f t="shared" si="13"/>
        <v/>
      </c>
      <c r="R192" s="12"/>
      <c r="S192" s="12"/>
      <c r="T192" s="12"/>
      <c r="U192" s="12"/>
      <c r="V192" s="12"/>
      <c r="W192" s="12"/>
      <c r="X192" s="12"/>
      <c r="Y192" s="12"/>
      <c r="Z192" s="12"/>
    </row>
    <row r="193" spans="1:26" x14ac:dyDescent="0.3">
      <c r="A193" s="6" t="s">
        <v>645</v>
      </c>
      <c r="B193" s="12"/>
      <c r="C193" s="12"/>
      <c r="D193" s="12" t="str">
        <f t="shared" si="10"/>
        <v/>
      </c>
      <c r="E193" s="12"/>
      <c r="F193" s="12"/>
      <c r="G193" s="12"/>
      <c r="H193" s="12" t="str">
        <f t="shared" si="11"/>
        <v/>
      </c>
      <c r="I193" s="12"/>
      <c r="J193" s="12"/>
      <c r="K193" s="12"/>
      <c r="L193" s="12"/>
      <c r="M193" s="12" t="str">
        <f t="shared" si="12"/>
        <v/>
      </c>
      <c r="N193" s="12"/>
      <c r="O193" s="12"/>
      <c r="P193" s="12"/>
      <c r="Q193" s="12" t="str">
        <f t="shared" si="13"/>
        <v/>
      </c>
      <c r="R193" s="12"/>
      <c r="S193" s="12"/>
      <c r="T193" s="12"/>
      <c r="U193" s="12"/>
      <c r="V193" s="12"/>
      <c r="W193" s="12"/>
      <c r="X193" s="12"/>
      <c r="Y193" s="12"/>
      <c r="Z193" s="12"/>
    </row>
    <row r="194" spans="1:26" x14ac:dyDescent="0.3">
      <c r="A194" s="6" t="s">
        <v>646</v>
      </c>
      <c r="B194" s="12"/>
      <c r="C194" s="12"/>
      <c r="D194" s="12" t="str">
        <f t="shared" si="10"/>
        <v/>
      </c>
      <c r="E194" s="12"/>
      <c r="F194" s="12"/>
      <c r="G194" s="12"/>
      <c r="H194" s="12" t="str">
        <f t="shared" si="11"/>
        <v/>
      </c>
      <c r="I194" s="12"/>
      <c r="J194" s="12"/>
      <c r="K194" s="12"/>
      <c r="L194" s="12"/>
      <c r="M194" s="12" t="str">
        <f t="shared" si="12"/>
        <v/>
      </c>
      <c r="N194" s="12"/>
      <c r="O194" s="12"/>
      <c r="P194" s="12"/>
      <c r="Q194" s="12" t="str">
        <f t="shared" si="13"/>
        <v/>
      </c>
      <c r="R194" s="12"/>
      <c r="S194" s="12"/>
      <c r="T194" s="12"/>
      <c r="U194" s="12"/>
      <c r="V194" s="12"/>
      <c r="W194" s="12"/>
      <c r="X194" s="12"/>
      <c r="Y194" s="12"/>
      <c r="Z194" s="12"/>
    </row>
    <row r="195" spans="1:26" x14ac:dyDescent="0.3">
      <c r="A195" s="6" t="s">
        <v>647</v>
      </c>
      <c r="B195" s="12"/>
      <c r="C195" s="12"/>
      <c r="D195" s="12" t="str">
        <f t="shared" ref="D195:D197" si="14">IF(B195="", "", (C195/B195)*100)</f>
        <v/>
      </c>
      <c r="E195" s="12"/>
      <c r="F195" s="12"/>
      <c r="G195" s="12"/>
      <c r="H195" s="12" t="str">
        <f t="shared" ref="H195:H197" si="15">IF(F195="", "", E195/F195)</f>
        <v/>
      </c>
      <c r="I195" s="12"/>
      <c r="J195" s="12"/>
      <c r="K195" s="12"/>
      <c r="L195" s="12"/>
      <c r="M195" s="12" t="str">
        <f t="shared" ref="M195:M197" si="16">IF(J195="", "", (L195/J195)*100)</f>
        <v/>
      </c>
      <c r="N195" s="12"/>
      <c r="O195" s="12"/>
      <c r="P195" s="12"/>
      <c r="Q195" s="12" t="str">
        <f t="shared" ref="Q195:Q197" si="17">IF(N195="", "", (P195/N195)*100)</f>
        <v/>
      </c>
      <c r="R195" s="12"/>
      <c r="S195" s="12"/>
      <c r="T195" s="12"/>
      <c r="U195" s="12"/>
      <c r="V195" s="12"/>
      <c r="W195" s="12"/>
      <c r="X195" s="12"/>
      <c r="Y195" s="12"/>
      <c r="Z195" s="12"/>
    </row>
    <row r="196" spans="1:26" x14ac:dyDescent="0.3">
      <c r="A196" s="6" t="s">
        <v>648</v>
      </c>
      <c r="B196" s="12"/>
      <c r="C196" s="12"/>
      <c r="D196" s="12" t="str">
        <f t="shared" si="14"/>
        <v/>
      </c>
      <c r="E196" s="12"/>
      <c r="F196" s="12"/>
      <c r="G196" s="12"/>
      <c r="H196" s="12" t="str">
        <f t="shared" si="15"/>
        <v/>
      </c>
      <c r="I196" s="12"/>
      <c r="J196" s="12"/>
      <c r="K196" s="12"/>
      <c r="L196" s="12"/>
      <c r="M196" s="12" t="str">
        <f t="shared" si="16"/>
        <v/>
      </c>
      <c r="N196" s="12"/>
      <c r="O196" s="12"/>
      <c r="P196" s="12"/>
      <c r="Q196" s="12" t="str">
        <f t="shared" si="17"/>
        <v/>
      </c>
      <c r="R196" s="12"/>
      <c r="S196" s="12"/>
      <c r="T196" s="12"/>
      <c r="U196" s="12"/>
      <c r="V196" s="12"/>
      <c r="W196" s="12"/>
      <c r="X196" s="12"/>
      <c r="Y196" s="12"/>
      <c r="Z196" s="12"/>
    </row>
    <row r="197" spans="1:26" x14ac:dyDescent="0.3">
      <c r="A197" s="6" t="s">
        <v>649</v>
      </c>
      <c r="B197" s="12"/>
      <c r="C197" s="12"/>
      <c r="D197" s="12" t="str">
        <f t="shared" si="14"/>
        <v/>
      </c>
      <c r="E197" s="12"/>
      <c r="F197" s="12"/>
      <c r="G197" s="12"/>
      <c r="H197" s="12" t="str">
        <f t="shared" si="15"/>
        <v/>
      </c>
      <c r="I197" s="12"/>
      <c r="J197" s="12"/>
      <c r="K197" s="12"/>
      <c r="L197" s="12"/>
      <c r="M197" s="12" t="str">
        <f t="shared" si="16"/>
        <v/>
      </c>
      <c r="N197" s="12"/>
      <c r="O197" s="12"/>
      <c r="P197" s="12"/>
      <c r="Q197" s="12" t="str">
        <f t="shared" si="17"/>
        <v/>
      </c>
      <c r="R197" s="12"/>
      <c r="S197" s="12"/>
      <c r="T197" s="12"/>
      <c r="U197" s="12"/>
      <c r="V197" s="12"/>
      <c r="W197" s="12"/>
      <c r="X197" s="12"/>
      <c r="Y197" s="12"/>
      <c r="Z197" s="1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B5691-327C-4F7E-B4E1-05159E856F26}">
  <dimension ref="A1:Q197"/>
  <sheetViews>
    <sheetView workbookViewId="0">
      <selection activeCell="C5" sqref="C5"/>
    </sheetView>
  </sheetViews>
  <sheetFormatPr defaultRowHeight="14.4" x14ac:dyDescent="0.3"/>
  <cols>
    <col min="1" max="1" width="24.77734375" style="2" bestFit="1" customWidth="1"/>
    <col min="2" max="2" width="11.77734375" style="2" bestFit="1" customWidth="1"/>
    <col min="3" max="3" width="13.109375" style="2" bestFit="1" customWidth="1"/>
    <col min="4" max="4" width="25.77734375" style="2" bestFit="1" customWidth="1"/>
    <col min="5" max="5" width="13.33203125" style="2" bestFit="1" customWidth="1"/>
    <col min="6" max="6" width="25.88671875" style="2" bestFit="1" customWidth="1"/>
    <col min="7" max="7" width="33.109375" style="2" bestFit="1" customWidth="1"/>
    <col min="8" max="8" width="25.77734375" style="2" bestFit="1" customWidth="1"/>
    <col min="9" max="9" width="29.109375" style="2" bestFit="1" customWidth="1"/>
    <col min="10" max="10" width="26.33203125" style="2" bestFit="1" customWidth="1"/>
    <col min="11" max="11" width="13.77734375" style="2" bestFit="1" customWidth="1"/>
    <col min="12" max="12" width="26.44140625" style="2" bestFit="1" customWidth="1"/>
    <col min="13" max="13" width="33.6640625" style="2" bestFit="1" customWidth="1"/>
    <col min="14" max="14" width="22.44140625" style="2" bestFit="1" customWidth="1"/>
    <col min="15" max="15" width="28.6640625" style="2" bestFit="1" customWidth="1"/>
    <col min="16" max="16" width="22.88671875" style="2" bestFit="1" customWidth="1"/>
    <col min="17" max="17" width="24.109375" style="2" bestFit="1" customWidth="1"/>
    <col min="18" max="16384" width="8.88671875" style="2"/>
  </cols>
  <sheetData>
    <row r="1" spans="1:17" s="3" customFormat="1" x14ac:dyDescent="0.3">
      <c r="A1" s="5" t="s">
        <v>1</v>
      </c>
      <c r="B1" s="5" t="s">
        <v>1019</v>
      </c>
      <c r="C1" s="5" t="s">
        <v>984</v>
      </c>
      <c r="D1" s="5" t="s">
        <v>985</v>
      </c>
      <c r="E1" s="5" t="s">
        <v>986</v>
      </c>
      <c r="F1" s="5" t="s">
        <v>987</v>
      </c>
      <c r="G1" s="5" t="s">
        <v>992</v>
      </c>
      <c r="H1" s="5" t="s">
        <v>988</v>
      </c>
      <c r="I1" s="5" t="s">
        <v>989</v>
      </c>
      <c r="J1" s="5" t="s">
        <v>1012</v>
      </c>
      <c r="K1" s="5" t="s">
        <v>990</v>
      </c>
      <c r="L1" s="5" t="s">
        <v>991</v>
      </c>
      <c r="M1" s="5" t="s">
        <v>993</v>
      </c>
      <c r="N1" s="5" t="s">
        <v>1015</v>
      </c>
      <c r="O1" s="5" t="s">
        <v>1016</v>
      </c>
      <c r="P1" s="5" t="s">
        <v>1017</v>
      </c>
      <c r="Q1" s="5" t="s">
        <v>1018</v>
      </c>
    </row>
    <row r="2" spans="1:17" x14ac:dyDescent="0.3">
      <c r="A2" s="6" t="s">
        <v>3</v>
      </c>
      <c r="B2" s="6">
        <v>80.900000000000006</v>
      </c>
      <c r="C2" s="6">
        <v>1466682</v>
      </c>
      <c r="D2" s="6">
        <f>(22.6+23)/2</f>
        <v>22.8</v>
      </c>
      <c r="E2" s="6">
        <f>IF('Nation Wise Summary'!U2="", "", (C2/'Nation Wise Summary'!U2)*100)</f>
        <v>49.330198207785372</v>
      </c>
      <c r="F2" s="6">
        <f>IF('Nation Non-Social Pop Demograph'!B2="", "", ('Nation-Wide Education Seg'!C2/'Nation Non-Social Pop Demograph'!B2)*10000)</f>
        <v>9.9131100542862463</v>
      </c>
      <c r="G2" s="6">
        <f>IF('Nation Non-Social Pop Demograph'!J2="", "", ('Nation-Wide Education Seg'!C2/'Nation Non-Social Pop Demograph'!J2)*10000)</f>
        <v>31.977774400039539</v>
      </c>
      <c r="H2" s="6">
        <f>1289+48246</f>
        <v>49535</v>
      </c>
      <c r="I2" s="6">
        <v>42.5</v>
      </c>
      <c r="J2" s="6">
        <v>82.9</v>
      </c>
      <c r="K2" s="6">
        <f>IF('Nation Wise Summary'!U2="", "", ('Nation-Wide Education Seg'!H2/'Nation Wise Summary'!U2)*100)</f>
        <v>1.666053969587578</v>
      </c>
      <c r="L2" s="6">
        <f>IF('Nation Non-Social Pop Demograph'!B2="", "", ('Nation-Wide Education Seg'!H2/'Nation Non-Social Pop Demograph'!B2)*10000)</f>
        <v>0.33480052699840135</v>
      </c>
      <c r="M2" s="6">
        <f>IF('Nation Non-Social Pop Demograph'!N2="", "", ('Nation-Wide Education Seg'!H2/'Nation Non-Social Pop Demograph'!N2)*10000)</f>
        <v>1.5013476591835035</v>
      </c>
      <c r="N2" s="6">
        <v>10273020</v>
      </c>
      <c r="O2" s="6">
        <v>1732000</v>
      </c>
      <c r="P2" s="6">
        <f>(N2/'Nation Non-Social Pop Demograph'!J2)*10000</f>
        <v>223.98060108946194</v>
      </c>
      <c r="Q2" s="6">
        <f>(O2/'Nation Non-Social Pop Demograph'!N2)*10000</f>
        <v>52.494885347851579</v>
      </c>
    </row>
    <row r="3" spans="1:17" x14ac:dyDescent="0.3">
      <c r="A3" s="6" t="s">
        <v>5</v>
      </c>
      <c r="B3" s="6">
        <v>97.15</v>
      </c>
      <c r="C3" s="6">
        <f>(440000+470000)/2</f>
        <v>455000</v>
      </c>
      <c r="D3" s="6">
        <v>32.520000000000003</v>
      </c>
      <c r="E3" s="6">
        <f>IF('Nation Wise Summary'!U3="", "", (C3/'Nation Wise Summary'!U3)*100)</f>
        <v>4.846503769461509</v>
      </c>
      <c r="F3" s="6">
        <f>IF('Nation Non-Social Pop Demograph'!B3="", "", ('Nation-Wide Education Seg'!C3/'Nation Non-Social Pop Demograph'!B3)*10000)</f>
        <v>3.2220238618441828</v>
      </c>
      <c r="G3" s="6">
        <f>IF('Nation Non-Social Pop Demograph'!J3="", "", ('Nation-Wide Education Seg'!C3/'Nation Non-Social Pop Demograph'!J3)*10000)</f>
        <v>15.773964291905008</v>
      </c>
      <c r="H3" s="6">
        <v>3196</v>
      </c>
      <c r="I3" s="6">
        <v>25</v>
      </c>
      <c r="J3" s="6">
        <v>25</v>
      </c>
      <c r="K3" s="6">
        <f>IF('Nation Wise Summary'!U3="", "", ('Nation-Wide Education Seg'!H3/'Nation Wise Summary'!U3)*100)</f>
        <v>3.4042694609228534E-2</v>
      </c>
      <c r="L3" s="6">
        <f>IF('Nation Non-Social Pop Demograph'!B3="", "", ('Nation-Wide Education Seg'!H3/'Nation Non-Social Pop Demograph'!B3)*10000)</f>
        <v>2.2632062115283538E-2</v>
      </c>
      <c r="M3" s="6">
        <f>IF('Nation Non-Social Pop Demograph'!N3="", "", ('Nation-Wide Education Seg'!H3/'Nation Non-Social Pop Demograph'!N3)*10000)</f>
        <v>0.15798319327731095</v>
      </c>
      <c r="N3" s="6">
        <v>18918000</v>
      </c>
      <c r="O3" s="6">
        <v>2070000</v>
      </c>
      <c r="P3" s="6">
        <f>(N3/'Nation Non-Social Pop Demograph'!J3)*10000</f>
        <v>655.85023400936041</v>
      </c>
      <c r="Q3" s="6">
        <f>(O3/'Nation Non-Social Pop Demograph'!N3)*10000</f>
        <v>102.32328225407809</v>
      </c>
    </row>
    <row r="4" spans="1:17" x14ac:dyDescent="0.3">
      <c r="A4" s="6" t="s">
        <v>430</v>
      </c>
      <c r="B4" s="6">
        <v>99</v>
      </c>
      <c r="C4" s="6">
        <v>133573</v>
      </c>
      <c r="D4" s="6">
        <v>25.83</v>
      </c>
      <c r="E4" s="6">
        <f>IF('Nation Wise Summary'!U4="", "", (C4/'Nation Wise Summary'!U4)*100)</f>
        <v>1.460273834824513</v>
      </c>
      <c r="F4" s="6">
        <f>IF('Nation Non-Social Pop Demograph'!B4="", "", ('Nation-Wide Education Seg'!C4/'Nation Non-Social Pop Demograph'!B4)*10000)</f>
        <v>3.8215081360289589</v>
      </c>
      <c r="G4" s="6">
        <f>IF('Nation Non-Social Pop Demograph'!J4="", "", ('Nation-Wide Education Seg'!C4/'Nation Non-Social Pop Demograph'!J4)*10000)</f>
        <v>18.546306575655873</v>
      </c>
      <c r="H4" s="6">
        <v>5626</v>
      </c>
      <c r="I4" s="6">
        <v>66.22</v>
      </c>
      <c r="J4" s="6">
        <v>66.22</v>
      </c>
      <c r="K4" s="6">
        <f>IF('Nation Wise Summary'!U4="", "", ('Nation-Wide Education Seg'!H4/'Nation Wise Summary'!U4)*100)</f>
        <v>6.1505697968322268E-2</v>
      </c>
      <c r="L4" s="6">
        <f>IF('Nation Non-Social Pop Demograph'!B4="", "", ('Nation-Wide Education Seg'!H4/'Nation Non-Social Pop Demograph'!B4)*10000)</f>
        <v>0.16095921161686061</v>
      </c>
      <c r="M4" s="6">
        <f>IF('Nation Non-Social Pop Demograph'!N4="", "", ('Nation-Wide Education Seg'!H4/'Nation Non-Social Pop Demograph'!N4)*10000)</f>
        <v>1.0447539461467039</v>
      </c>
      <c r="N4" s="6">
        <v>4007908</v>
      </c>
      <c r="O4" s="6">
        <v>1507600</v>
      </c>
      <c r="P4" s="6">
        <f>(N4/'Nation Non-Social Pop Demograph'!J4)*10000</f>
        <v>556.48888993302376</v>
      </c>
      <c r="Q4" s="6">
        <f>(O4/'Nation Non-Social Pop Demograph'!N4)*10000</f>
        <v>279.96285979572889</v>
      </c>
    </row>
    <row r="5" spans="1:17" x14ac:dyDescent="0.3">
      <c r="A5" s="6" t="s">
        <v>13</v>
      </c>
      <c r="B5" s="6">
        <v>96.35</v>
      </c>
      <c r="C5" s="6">
        <v>236000</v>
      </c>
      <c r="D5" s="6">
        <v>22</v>
      </c>
      <c r="E5" s="6">
        <f>IF('Nation Wise Summary'!U5="", "", (C5/'Nation Wise Summary'!U5)*100)</f>
        <v>13.027381236927768</v>
      </c>
      <c r="F5" s="6">
        <f>IF('Nation Non-Social Pop Demograph'!B5="", "", ('Nation-Wide Education Seg'!C5/'Nation Non-Social Pop Demograph'!B5)*10000)</f>
        <v>8.1820334644822008</v>
      </c>
      <c r="G5" s="6">
        <f>IF('Nation Non-Social Pop Demograph'!J5="", "", ('Nation-Wide Education Seg'!C5/'Nation Non-Social Pop Demograph'!J5)*10000)</f>
        <v>28.205909353139301</v>
      </c>
      <c r="H5" s="6">
        <v>4655</v>
      </c>
      <c r="I5" s="6">
        <v>94.5</v>
      </c>
      <c r="J5" s="6">
        <v>94.5</v>
      </c>
      <c r="K5" s="6">
        <f>IF('Nation Wise Summary'!U5="", "", ('Nation-Wide Education Seg'!H5/'Nation Wise Summary'!U5)*100)</f>
        <v>0.25695957482160492</v>
      </c>
      <c r="L5" s="6">
        <f>IF('Nation Non-Social Pop Demograph'!B5="", "", ('Nation-Wide Education Seg'!H5/'Nation Non-Social Pop Demograph'!B5)*10000)</f>
        <v>0.16138714312357896</v>
      </c>
      <c r="M5" s="6">
        <f>IF('Nation Non-Social Pop Demograph'!N5="", "", ('Nation-Wide Education Seg'!H5/'Nation Non-Social Pop Demograph'!N5)*10000)</f>
        <v>0.87136614112649768</v>
      </c>
      <c r="N5" s="6">
        <v>3028300</v>
      </c>
      <c r="O5" s="6">
        <v>303067</v>
      </c>
      <c r="P5" s="6">
        <f>(N5/'Nation Non-Social Pop Demograph'!J5)*10000</f>
        <v>361.93201395810058</v>
      </c>
      <c r="Q5" s="6">
        <f>(O5/'Nation Non-Social Pop Demograph'!N5)*10000</f>
        <v>56.730896303498227</v>
      </c>
    </row>
    <row r="6" spans="1:17" x14ac:dyDescent="0.3">
      <c r="A6" s="6" t="s">
        <v>72</v>
      </c>
      <c r="B6" s="6"/>
      <c r="C6" s="6"/>
      <c r="D6" s="6"/>
      <c r="E6" s="6" t="str">
        <f>IF('Nation Wise Summary'!U6="", "", (C6/'Nation Wise Summary'!U6)*100)</f>
        <v/>
      </c>
      <c r="F6" s="6">
        <f>IF('Nation Non-Social Pop Demograph'!B6="", "", ('Nation-Wide Education Seg'!C6/'Nation Non-Social Pop Demograph'!B6)*10000)</f>
        <v>0</v>
      </c>
      <c r="G6" s="6">
        <f>IF('Nation Non-Social Pop Demograph'!J6="", "", ('Nation-Wide Education Seg'!C6/'Nation Non-Social Pop Demograph'!J6)*10000)</f>
        <v>0</v>
      </c>
      <c r="H6" s="6"/>
      <c r="I6" s="6"/>
      <c r="J6" s="6"/>
      <c r="K6" s="6" t="str">
        <f>IF('Nation Wise Summary'!U6="", "", 'Nation-Wide Education Seg'!H6/'Nation Wise Summary'!U6)</f>
        <v/>
      </c>
      <c r="L6" s="6">
        <f>IF('Nation Non-Social Pop Demograph'!B6="", "", ('Nation-Wide Education Seg'!H6/'Nation Non-Social Pop Demograph'!B6)*10000)</f>
        <v>0</v>
      </c>
      <c r="M6" s="6" t="str">
        <f>IF('Nation Non-Social Pop Demograph'!N6="", "", ('Nation-Wide Education Seg'!H6/'Nation Non-Social Pop Demograph'!N6)*10000)</f>
        <v/>
      </c>
      <c r="N6" s="6"/>
      <c r="O6" s="6"/>
      <c r="P6" s="6"/>
      <c r="Q6" s="6"/>
    </row>
    <row r="7" spans="1:17" x14ac:dyDescent="0.3">
      <c r="A7" s="6" t="s">
        <v>16</v>
      </c>
      <c r="B7" s="6"/>
      <c r="C7" s="6"/>
      <c r="D7" s="6"/>
      <c r="E7" s="6" t="str">
        <f>IF('Nation Wise Summary'!U7="", "", (C7/'Nation Wise Summary'!U7)*100)</f>
        <v/>
      </c>
      <c r="F7" s="6" t="str">
        <f>IF('Nation Non-Social Pop Demograph'!B7="", "", ('Nation-Wide Education Seg'!C7/'Nation Non-Social Pop Demograph'!B7)*10000)</f>
        <v/>
      </c>
      <c r="G7" s="6" t="str">
        <f>IF('Nation Non-Social Pop Demograph'!J7="", "", ('Nation-Wide Education Seg'!C7/'Nation Non-Social Pop Demograph'!J7)*10000)</f>
        <v/>
      </c>
      <c r="H7" s="6"/>
      <c r="I7" s="6"/>
      <c r="J7" s="6"/>
      <c r="K7" s="6" t="str">
        <f>IF('Nation Wise Summary'!U7="", "", 'Nation-Wide Education Seg'!H7/'Nation Wise Summary'!U7)</f>
        <v/>
      </c>
      <c r="L7" s="6" t="str">
        <f>IF('Nation Non-Social Pop Demograph'!B7="", "", ('Nation-Wide Education Seg'!H7/'Nation Non-Social Pop Demograph'!B7)*10000)</f>
        <v/>
      </c>
      <c r="M7" s="6" t="str">
        <f>IF('Nation Non-Social Pop Demograph'!N7="", "", ('Nation-Wide Education Seg'!H7/'Nation Non-Social Pop Demograph'!N7)*10000)</f>
        <v/>
      </c>
      <c r="N7" s="6"/>
      <c r="O7" s="6"/>
      <c r="P7" s="6"/>
      <c r="Q7" s="6"/>
    </row>
    <row r="8" spans="1:17" x14ac:dyDescent="0.3">
      <c r="A8" s="6" t="s">
        <v>19</v>
      </c>
      <c r="B8" s="6"/>
      <c r="C8" s="6"/>
      <c r="D8" s="6"/>
      <c r="E8" s="6" t="str">
        <f>IF('Nation Wise Summary'!U8="", "", (C8/'Nation Wise Summary'!U8)*100)</f>
        <v/>
      </c>
      <c r="F8" s="6" t="str">
        <f>IF('Nation Non-Social Pop Demograph'!B8="", "", ('Nation-Wide Education Seg'!C8/'Nation Non-Social Pop Demograph'!B8)*10000)</f>
        <v/>
      </c>
      <c r="G8" s="6" t="str">
        <f>IF('Nation Non-Social Pop Demograph'!J8="", "", ('Nation-Wide Education Seg'!C8/'Nation Non-Social Pop Demograph'!J8)*10000)</f>
        <v/>
      </c>
      <c r="H8" s="6"/>
      <c r="I8" s="6"/>
      <c r="J8" s="6"/>
      <c r="K8" s="6" t="str">
        <f>IF('Nation Wise Summary'!U8="", "", 'Nation-Wide Education Seg'!H8/'Nation Wise Summary'!U8)</f>
        <v/>
      </c>
      <c r="L8" s="6" t="str">
        <f>IF('Nation Non-Social Pop Demograph'!B8="", "", ('Nation-Wide Education Seg'!H8/'Nation Non-Social Pop Demograph'!B8)*10000)</f>
        <v/>
      </c>
      <c r="M8" s="6" t="str">
        <f>IF('Nation Non-Social Pop Demograph'!N8="", "", ('Nation-Wide Education Seg'!H8/'Nation Non-Social Pop Demograph'!N8)*10000)</f>
        <v/>
      </c>
      <c r="N8" s="6"/>
      <c r="O8" s="6"/>
      <c r="P8" s="6"/>
      <c r="Q8" s="6"/>
    </row>
    <row r="9" spans="1:17" x14ac:dyDescent="0.3">
      <c r="A9" s="6" t="s">
        <v>24</v>
      </c>
      <c r="B9" s="6"/>
      <c r="C9" s="6"/>
      <c r="D9" s="6"/>
      <c r="E9" s="6" t="str">
        <f>IF('Nation Wise Summary'!U9="", "", (C9/'Nation Wise Summary'!U9)*100)</f>
        <v/>
      </c>
      <c r="F9" s="6" t="str">
        <f>IF('Nation Non-Social Pop Demograph'!B9="", "", ('Nation-Wide Education Seg'!C9/'Nation Non-Social Pop Demograph'!B9)*10000)</f>
        <v/>
      </c>
      <c r="G9" s="6" t="str">
        <f>IF('Nation Non-Social Pop Demograph'!J9="", "", ('Nation-Wide Education Seg'!C9/'Nation Non-Social Pop Demograph'!J9)*10000)</f>
        <v/>
      </c>
      <c r="H9" s="6"/>
      <c r="I9" s="6"/>
      <c r="J9" s="6"/>
      <c r="K9" s="6" t="str">
        <f>IF('Nation Wise Summary'!U9="", "", 'Nation-Wide Education Seg'!H9/'Nation Wise Summary'!U9)</f>
        <v/>
      </c>
      <c r="L9" s="6" t="str">
        <f>IF('Nation Non-Social Pop Demograph'!B9="", "", ('Nation-Wide Education Seg'!H9/'Nation Non-Social Pop Demograph'!B9)*10000)</f>
        <v/>
      </c>
      <c r="M9" s="6" t="str">
        <f>IF('Nation Non-Social Pop Demograph'!N9="", "", ('Nation-Wide Education Seg'!H9/'Nation Non-Social Pop Demograph'!N9)*10000)</f>
        <v/>
      </c>
      <c r="N9" s="6"/>
      <c r="O9" s="6"/>
      <c r="P9" s="6"/>
      <c r="Q9" s="6"/>
    </row>
    <row r="10" spans="1:17" x14ac:dyDescent="0.3">
      <c r="A10" s="6" t="s">
        <v>27</v>
      </c>
      <c r="B10" s="6"/>
      <c r="C10" s="6"/>
      <c r="D10" s="6"/>
      <c r="E10" s="6" t="str">
        <f>IF('Nation Wise Summary'!U10="", "", (C10/'Nation Wise Summary'!U10)*100)</f>
        <v/>
      </c>
      <c r="F10" s="6" t="str">
        <f>IF('Nation Non-Social Pop Demograph'!B10="", "", ('Nation-Wide Education Seg'!C10/'Nation Non-Social Pop Demograph'!B10)*10000)</f>
        <v/>
      </c>
      <c r="G10" s="6" t="str">
        <f>IF('Nation Non-Social Pop Demograph'!J10="", "", ('Nation-Wide Education Seg'!C10/'Nation Non-Social Pop Demograph'!J10)*10000)</f>
        <v/>
      </c>
      <c r="H10" s="6"/>
      <c r="I10" s="6"/>
      <c r="J10" s="6"/>
      <c r="K10" s="6" t="str">
        <f>IF('Nation Wise Summary'!U10="", "", 'Nation-Wide Education Seg'!H10/'Nation Wise Summary'!U10)</f>
        <v/>
      </c>
      <c r="L10" s="6" t="str">
        <f>IF('Nation Non-Social Pop Demograph'!B10="", "", ('Nation-Wide Education Seg'!H10/'Nation Non-Social Pop Demograph'!B10)*10000)</f>
        <v/>
      </c>
      <c r="M10" s="6" t="str">
        <f>IF('Nation Non-Social Pop Demograph'!N10="", "", ('Nation-Wide Education Seg'!H10/'Nation Non-Social Pop Demograph'!N10)*10000)</f>
        <v/>
      </c>
      <c r="N10" s="6"/>
      <c r="O10" s="6"/>
      <c r="P10" s="6"/>
      <c r="Q10" s="6"/>
    </row>
    <row r="11" spans="1:17" x14ac:dyDescent="0.3">
      <c r="A11" s="6" t="s">
        <v>32</v>
      </c>
      <c r="B11" s="6"/>
      <c r="C11" s="6"/>
      <c r="D11" s="6"/>
      <c r="E11" s="6" t="str">
        <f>IF('Nation Wise Summary'!U11="", "", (C11/'Nation Wise Summary'!U11)*100)</f>
        <v/>
      </c>
      <c r="F11" s="6" t="str">
        <f>IF('Nation Non-Social Pop Demograph'!B11="", "", ('Nation-Wide Education Seg'!C11/'Nation Non-Social Pop Demograph'!B11)*10000)</f>
        <v/>
      </c>
      <c r="G11" s="6" t="str">
        <f>IF('Nation Non-Social Pop Demograph'!J11="", "", ('Nation-Wide Education Seg'!C11/'Nation Non-Social Pop Demograph'!J11)*10000)</f>
        <v/>
      </c>
      <c r="H11" s="6"/>
      <c r="I11" s="6"/>
      <c r="J11" s="6"/>
      <c r="K11" s="6" t="str">
        <f>IF('Nation Wise Summary'!U11="", "", 'Nation-Wide Education Seg'!H11/'Nation Wise Summary'!U11)</f>
        <v/>
      </c>
      <c r="L11" s="6" t="str">
        <f>IF('Nation Non-Social Pop Demograph'!B11="", "", ('Nation-Wide Education Seg'!H11/'Nation Non-Social Pop Demograph'!B11)*10000)</f>
        <v/>
      </c>
      <c r="M11" s="6" t="str">
        <f>IF('Nation Non-Social Pop Demograph'!N11="", "", ('Nation-Wide Education Seg'!H11/'Nation Non-Social Pop Demograph'!N11)*10000)</f>
        <v/>
      </c>
      <c r="N11" s="6"/>
      <c r="O11" s="6"/>
      <c r="P11" s="6"/>
      <c r="Q11" s="6"/>
    </row>
    <row r="12" spans="1:17" x14ac:dyDescent="0.3">
      <c r="A12" s="6" t="s">
        <v>35</v>
      </c>
      <c r="B12" s="6"/>
      <c r="C12" s="6"/>
      <c r="D12" s="6"/>
      <c r="E12" s="6" t="str">
        <f>IF('Nation Wise Summary'!U12="", "", (C12/'Nation Wise Summary'!U12)*100)</f>
        <v/>
      </c>
      <c r="F12" s="6" t="str">
        <f>IF('Nation Non-Social Pop Demograph'!B12="", "", ('Nation-Wide Education Seg'!C12/'Nation Non-Social Pop Demograph'!B12)*10000)</f>
        <v/>
      </c>
      <c r="G12" s="6" t="str">
        <f>IF('Nation Non-Social Pop Demograph'!J12="", "", ('Nation-Wide Education Seg'!C12/'Nation Non-Social Pop Demograph'!J12)*10000)</f>
        <v/>
      </c>
      <c r="H12" s="6"/>
      <c r="I12" s="6"/>
      <c r="J12" s="6"/>
      <c r="K12" s="6" t="str">
        <f>IF('Nation Wise Summary'!U12="", "", 'Nation-Wide Education Seg'!H12/'Nation Wise Summary'!U12)</f>
        <v/>
      </c>
      <c r="L12" s="6" t="str">
        <f>IF('Nation Non-Social Pop Demograph'!B12="", "", ('Nation-Wide Education Seg'!H12/'Nation Non-Social Pop Demograph'!B12)*10000)</f>
        <v/>
      </c>
      <c r="M12" s="6" t="str">
        <f>IF('Nation Non-Social Pop Demograph'!N12="", "", ('Nation-Wide Education Seg'!H12/'Nation Non-Social Pop Demograph'!N12)*10000)</f>
        <v/>
      </c>
      <c r="N12" s="6"/>
      <c r="O12" s="6"/>
      <c r="P12" s="6"/>
      <c r="Q12" s="6"/>
    </row>
    <row r="13" spans="1:17" x14ac:dyDescent="0.3">
      <c r="A13" s="6" t="s">
        <v>40</v>
      </c>
      <c r="B13" s="6"/>
      <c r="C13" s="6"/>
      <c r="D13" s="6"/>
      <c r="E13" s="6" t="str">
        <f>IF('Nation Wise Summary'!U13="", "", (C13/'Nation Wise Summary'!U13)*100)</f>
        <v/>
      </c>
      <c r="F13" s="6" t="str">
        <f>IF('Nation Non-Social Pop Demograph'!B13="", "", ('Nation-Wide Education Seg'!C13/'Nation Non-Social Pop Demograph'!B13)*10000)</f>
        <v/>
      </c>
      <c r="G13" s="6" t="str">
        <f>IF('Nation Non-Social Pop Demograph'!J13="", "", ('Nation-Wide Education Seg'!C13/'Nation Non-Social Pop Demograph'!J13)*10000)</f>
        <v/>
      </c>
      <c r="H13" s="6"/>
      <c r="I13" s="6"/>
      <c r="J13" s="6"/>
      <c r="K13" s="6" t="str">
        <f>IF('Nation Wise Summary'!U13="", "", 'Nation-Wide Education Seg'!H13/'Nation Wise Summary'!U13)</f>
        <v/>
      </c>
      <c r="L13" s="6" t="str">
        <f>IF('Nation Non-Social Pop Demograph'!B13="", "", ('Nation-Wide Education Seg'!H13/'Nation Non-Social Pop Demograph'!B13)*10000)</f>
        <v/>
      </c>
      <c r="M13" s="6" t="str">
        <f>IF('Nation Non-Social Pop Demograph'!N13="", "", ('Nation-Wide Education Seg'!H13/'Nation Non-Social Pop Demograph'!N13)*10000)</f>
        <v/>
      </c>
      <c r="N13" s="6"/>
      <c r="O13" s="6"/>
      <c r="P13" s="6"/>
      <c r="Q13" s="6"/>
    </row>
    <row r="14" spans="1:17" x14ac:dyDescent="0.3">
      <c r="A14" s="6" t="s">
        <v>43</v>
      </c>
      <c r="B14" s="6"/>
      <c r="C14" s="6"/>
      <c r="D14" s="6"/>
      <c r="E14" s="6" t="str">
        <f>IF('Nation Wise Summary'!U14="", "", (C14/'Nation Wise Summary'!U14)*100)</f>
        <v/>
      </c>
      <c r="F14" s="6" t="str">
        <f>IF('Nation Non-Social Pop Demograph'!B14="", "", ('Nation-Wide Education Seg'!C14/'Nation Non-Social Pop Demograph'!B14)*10000)</f>
        <v/>
      </c>
      <c r="G14" s="6" t="str">
        <f>IF('Nation Non-Social Pop Demograph'!J14="", "", ('Nation-Wide Education Seg'!C14/'Nation Non-Social Pop Demograph'!J14)*10000)</f>
        <v/>
      </c>
      <c r="H14" s="6"/>
      <c r="I14" s="6"/>
      <c r="J14" s="6"/>
      <c r="K14" s="6" t="str">
        <f>IF('Nation Wise Summary'!U14="", "", 'Nation-Wide Education Seg'!H14/'Nation Wise Summary'!U14)</f>
        <v/>
      </c>
      <c r="L14" s="6" t="str">
        <f>IF('Nation Non-Social Pop Demograph'!B14="", "", ('Nation-Wide Education Seg'!H14/'Nation Non-Social Pop Demograph'!B14)*10000)</f>
        <v/>
      </c>
      <c r="M14" s="6" t="str">
        <f>IF('Nation Non-Social Pop Demograph'!N14="", "", ('Nation-Wide Education Seg'!H14/'Nation Non-Social Pop Demograph'!N14)*10000)</f>
        <v/>
      </c>
      <c r="N14" s="6"/>
      <c r="O14" s="6"/>
      <c r="P14" s="6"/>
      <c r="Q14" s="6"/>
    </row>
    <row r="15" spans="1:17" x14ac:dyDescent="0.3">
      <c r="A15" s="6" t="s">
        <v>439</v>
      </c>
      <c r="B15" s="6"/>
      <c r="C15" s="6"/>
      <c r="D15" s="6"/>
      <c r="E15" s="6" t="str">
        <f>IF('Nation Wise Summary'!U15="", "", (C15/'Nation Wise Summary'!U15)*100)</f>
        <v/>
      </c>
      <c r="F15" s="6" t="str">
        <f>IF('Nation Non-Social Pop Demograph'!B15="", "", ('Nation-Wide Education Seg'!C15/'Nation Non-Social Pop Demograph'!B15)*10000)</f>
        <v/>
      </c>
      <c r="G15" s="6" t="str">
        <f>IF('Nation Non-Social Pop Demograph'!J15="", "", ('Nation-Wide Education Seg'!C15/'Nation Non-Social Pop Demograph'!J15)*10000)</f>
        <v/>
      </c>
      <c r="H15" s="6"/>
      <c r="I15" s="6"/>
      <c r="J15" s="6"/>
      <c r="K15" s="6" t="str">
        <f>IF('Nation Wise Summary'!U15="", "", 'Nation-Wide Education Seg'!H15/'Nation Wise Summary'!U15)</f>
        <v/>
      </c>
      <c r="L15" s="6" t="str">
        <f>IF('Nation Non-Social Pop Demograph'!B15="", "", ('Nation-Wide Education Seg'!H15/'Nation Non-Social Pop Demograph'!B15)*10000)</f>
        <v/>
      </c>
      <c r="M15" s="6" t="str">
        <f>IF('Nation Non-Social Pop Demograph'!N15="", "", ('Nation-Wide Education Seg'!H15/'Nation Non-Social Pop Demograph'!N15)*10000)</f>
        <v/>
      </c>
      <c r="N15" s="6"/>
      <c r="O15" s="6"/>
      <c r="P15" s="6"/>
      <c r="Q15" s="6"/>
    </row>
    <row r="16" spans="1:17" x14ac:dyDescent="0.3">
      <c r="A16" s="6" t="s">
        <v>51</v>
      </c>
      <c r="B16" s="6"/>
      <c r="C16" s="6"/>
      <c r="D16" s="6"/>
      <c r="E16" s="6" t="str">
        <f>IF('Nation Wise Summary'!U16="", "", (C16/'Nation Wise Summary'!U16)*100)</f>
        <v/>
      </c>
      <c r="F16" s="6" t="str">
        <f>IF('Nation Non-Social Pop Demograph'!B16="", "", ('Nation-Wide Education Seg'!C16/'Nation Non-Social Pop Demograph'!B16)*10000)</f>
        <v/>
      </c>
      <c r="G16" s="6" t="str">
        <f>IF('Nation Non-Social Pop Demograph'!J16="", "", ('Nation-Wide Education Seg'!C16/'Nation Non-Social Pop Demograph'!J16)*10000)</f>
        <v/>
      </c>
      <c r="H16" s="6"/>
      <c r="I16" s="6"/>
      <c r="J16" s="6"/>
      <c r="K16" s="6" t="str">
        <f>IF('Nation Wise Summary'!U16="", "", 'Nation-Wide Education Seg'!H16/'Nation Wise Summary'!U16)</f>
        <v/>
      </c>
      <c r="L16" s="6" t="str">
        <f>IF('Nation Non-Social Pop Demograph'!B16="", "", ('Nation-Wide Education Seg'!H16/'Nation Non-Social Pop Demograph'!B16)*10000)</f>
        <v/>
      </c>
      <c r="M16" s="6" t="str">
        <f>IF('Nation Non-Social Pop Demograph'!N16="", "", ('Nation-Wide Education Seg'!H16/'Nation Non-Social Pop Demograph'!N16)*10000)</f>
        <v/>
      </c>
      <c r="N16" s="6"/>
      <c r="O16" s="6"/>
      <c r="P16" s="6"/>
      <c r="Q16" s="6"/>
    </row>
    <row r="17" spans="1:17" x14ac:dyDescent="0.3">
      <c r="A17" s="6" t="s">
        <v>56</v>
      </c>
      <c r="B17" s="6"/>
      <c r="C17" s="6"/>
      <c r="D17" s="6"/>
      <c r="E17" s="6" t="str">
        <f>IF('Nation Wise Summary'!U17="", "", (C17/'Nation Wise Summary'!U17)*100)</f>
        <v/>
      </c>
      <c r="F17" s="6" t="str">
        <f>IF('Nation Non-Social Pop Demograph'!B17="", "", ('Nation-Wide Education Seg'!C17/'Nation Non-Social Pop Demograph'!B17)*10000)</f>
        <v/>
      </c>
      <c r="G17" s="6" t="str">
        <f>IF('Nation Non-Social Pop Demograph'!J17="", "", ('Nation-Wide Education Seg'!C17/'Nation Non-Social Pop Demograph'!J17)*10000)</f>
        <v/>
      </c>
      <c r="H17" s="6"/>
      <c r="I17" s="6"/>
      <c r="J17" s="6"/>
      <c r="K17" s="6" t="str">
        <f>IF('Nation Wise Summary'!U17="", "", 'Nation-Wide Education Seg'!H17/'Nation Wise Summary'!U17)</f>
        <v/>
      </c>
      <c r="L17" s="6" t="str">
        <f>IF('Nation Non-Social Pop Demograph'!B17="", "", ('Nation-Wide Education Seg'!H17/'Nation Non-Social Pop Demograph'!B17)*10000)</f>
        <v/>
      </c>
      <c r="M17" s="6" t="str">
        <f>IF('Nation Non-Social Pop Demograph'!N17="", "", ('Nation-Wide Education Seg'!H17/'Nation Non-Social Pop Demograph'!N17)*10000)</f>
        <v/>
      </c>
      <c r="N17" s="6"/>
      <c r="O17" s="6"/>
      <c r="P17" s="6"/>
      <c r="Q17" s="6"/>
    </row>
    <row r="18" spans="1:17" x14ac:dyDescent="0.3">
      <c r="A18" s="6" t="s">
        <v>59</v>
      </c>
      <c r="B18" s="6"/>
      <c r="C18" s="6"/>
      <c r="D18" s="6"/>
      <c r="E18" s="6" t="str">
        <f>IF('Nation Wise Summary'!U18="", "", (C18/'Nation Wise Summary'!U18)*100)</f>
        <v/>
      </c>
      <c r="F18" s="6" t="str">
        <f>IF('Nation Non-Social Pop Demograph'!B18="", "", ('Nation-Wide Education Seg'!C18/'Nation Non-Social Pop Demograph'!B18)*10000)</f>
        <v/>
      </c>
      <c r="G18" s="6" t="str">
        <f>IF('Nation Non-Social Pop Demograph'!J18="", "", ('Nation-Wide Education Seg'!C18/'Nation Non-Social Pop Demograph'!J18)*10000)</f>
        <v/>
      </c>
      <c r="H18" s="6"/>
      <c r="I18" s="6"/>
      <c r="J18" s="6"/>
      <c r="K18" s="6" t="str">
        <f>IF('Nation Wise Summary'!U18="", "", 'Nation-Wide Education Seg'!H18/'Nation Wise Summary'!U18)</f>
        <v/>
      </c>
      <c r="L18" s="6" t="str">
        <f>IF('Nation Non-Social Pop Demograph'!B18="", "", ('Nation-Wide Education Seg'!H18/'Nation Non-Social Pop Demograph'!B18)*10000)</f>
        <v/>
      </c>
      <c r="M18" s="6" t="str">
        <f>IF('Nation Non-Social Pop Demograph'!N18="", "", ('Nation-Wide Education Seg'!H18/'Nation Non-Social Pop Demograph'!N18)*10000)</f>
        <v/>
      </c>
      <c r="N18" s="6"/>
      <c r="O18" s="6"/>
      <c r="P18" s="6"/>
      <c r="Q18" s="6"/>
    </row>
    <row r="19" spans="1:17" x14ac:dyDescent="0.3">
      <c r="A19" s="6" t="s">
        <v>64</v>
      </c>
      <c r="B19" s="6"/>
      <c r="C19" s="6"/>
      <c r="D19" s="6"/>
      <c r="E19" s="6" t="str">
        <f>IF('Nation Wise Summary'!U19="", "", (C19/'Nation Wise Summary'!U19)*100)</f>
        <v/>
      </c>
      <c r="F19" s="6" t="str">
        <f>IF('Nation Non-Social Pop Demograph'!B19="", "", ('Nation-Wide Education Seg'!C19/'Nation Non-Social Pop Demograph'!B19)*10000)</f>
        <v/>
      </c>
      <c r="G19" s="6" t="str">
        <f>IF('Nation Non-Social Pop Demograph'!J19="", "", ('Nation-Wide Education Seg'!C19/'Nation Non-Social Pop Demograph'!J19)*10000)</f>
        <v/>
      </c>
      <c r="H19" s="6"/>
      <c r="I19" s="6"/>
      <c r="J19" s="6"/>
      <c r="K19" s="6" t="str">
        <f>IF('Nation Wise Summary'!U19="", "", 'Nation-Wide Education Seg'!H19/'Nation Wise Summary'!U19)</f>
        <v/>
      </c>
      <c r="L19" s="6" t="str">
        <f>IF('Nation Non-Social Pop Demograph'!B19="", "", ('Nation-Wide Education Seg'!H19/'Nation Non-Social Pop Demograph'!B19)*10000)</f>
        <v/>
      </c>
      <c r="M19" s="6" t="str">
        <f>IF('Nation Non-Social Pop Demograph'!N19="", "", ('Nation-Wide Education Seg'!H19/'Nation Non-Social Pop Demograph'!N19)*10000)</f>
        <v/>
      </c>
      <c r="N19" s="6"/>
      <c r="O19" s="6"/>
      <c r="P19" s="6"/>
      <c r="Q19" s="6"/>
    </row>
    <row r="20" spans="1:17" x14ac:dyDescent="0.3">
      <c r="A20" s="6" t="s">
        <v>67</v>
      </c>
      <c r="B20" s="6"/>
      <c r="C20" s="6"/>
      <c r="D20" s="6"/>
      <c r="E20" s="6" t="str">
        <f>IF('Nation Wise Summary'!U20="", "", (C20/'Nation Wise Summary'!U20)*100)</f>
        <v/>
      </c>
      <c r="F20" s="6" t="str">
        <f>IF('Nation Non-Social Pop Demograph'!B20="", "", ('Nation-Wide Education Seg'!C20/'Nation Non-Social Pop Demograph'!B20)*10000)</f>
        <v/>
      </c>
      <c r="G20" s="6" t="str">
        <f>IF('Nation Non-Social Pop Demograph'!J20="", "", ('Nation-Wide Education Seg'!C20/'Nation Non-Social Pop Demograph'!J20)*10000)</f>
        <v/>
      </c>
      <c r="H20" s="6"/>
      <c r="I20" s="6"/>
      <c r="J20" s="6"/>
      <c r="K20" s="6" t="str">
        <f>IF('Nation Wise Summary'!U20="", "", 'Nation-Wide Education Seg'!H20/'Nation Wise Summary'!U20)</f>
        <v/>
      </c>
      <c r="L20" s="6" t="str">
        <f>IF('Nation Non-Social Pop Demograph'!B20="", "", ('Nation-Wide Education Seg'!H20/'Nation Non-Social Pop Demograph'!B20)*10000)</f>
        <v/>
      </c>
      <c r="M20" s="6" t="str">
        <f>IF('Nation Non-Social Pop Demograph'!N20="", "", ('Nation-Wide Education Seg'!H20/'Nation Non-Social Pop Demograph'!N20)*10000)</f>
        <v/>
      </c>
      <c r="N20" s="6"/>
      <c r="O20" s="6"/>
      <c r="P20" s="6"/>
      <c r="Q20" s="6"/>
    </row>
    <row r="21" spans="1:17" x14ac:dyDescent="0.3">
      <c r="A21" s="6" t="s">
        <v>75</v>
      </c>
      <c r="B21" s="6"/>
      <c r="C21" s="6"/>
      <c r="D21" s="6"/>
      <c r="E21" s="6" t="str">
        <f>IF('Nation Wise Summary'!U21="", "", (C21/'Nation Wise Summary'!U21)*100)</f>
        <v/>
      </c>
      <c r="F21" s="6" t="str">
        <f>IF('Nation Non-Social Pop Demograph'!B21="", "", ('Nation-Wide Education Seg'!C21/'Nation Non-Social Pop Demograph'!B21)*10000)</f>
        <v/>
      </c>
      <c r="G21" s="6" t="str">
        <f>IF('Nation Non-Social Pop Demograph'!J21="", "", ('Nation-Wide Education Seg'!C21/'Nation Non-Social Pop Demograph'!J21)*10000)</f>
        <v/>
      </c>
      <c r="H21" s="6"/>
      <c r="I21" s="6"/>
      <c r="J21" s="6"/>
      <c r="K21" s="6" t="str">
        <f>IF('Nation Wise Summary'!U21="", "", 'Nation-Wide Education Seg'!H21/'Nation Wise Summary'!U21)</f>
        <v/>
      </c>
      <c r="L21" s="6" t="str">
        <f>IF('Nation Non-Social Pop Demograph'!B21="", "", ('Nation-Wide Education Seg'!H21/'Nation Non-Social Pop Demograph'!B21)*10000)</f>
        <v/>
      </c>
      <c r="M21" s="6" t="str">
        <f>IF('Nation Non-Social Pop Demograph'!N21="", "", ('Nation-Wide Education Seg'!H21/'Nation Non-Social Pop Demograph'!N21)*10000)</f>
        <v/>
      </c>
      <c r="N21" s="6"/>
      <c r="O21" s="6"/>
      <c r="P21" s="6"/>
      <c r="Q21" s="6"/>
    </row>
    <row r="22" spans="1:17" x14ac:dyDescent="0.3">
      <c r="A22" s="6" t="s">
        <v>80</v>
      </c>
      <c r="B22" s="6"/>
      <c r="C22" s="6"/>
      <c r="D22" s="6"/>
      <c r="E22" s="6" t="str">
        <f>IF('Nation Wise Summary'!U22="", "", (C22/'Nation Wise Summary'!U22)*100)</f>
        <v/>
      </c>
      <c r="F22" s="6" t="str">
        <f>IF('Nation Non-Social Pop Demograph'!B22="", "", ('Nation-Wide Education Seg'!C22/'Nation Non-Social Pop Demograph'!B22)*10000)</f>
        <v/>
      </c>
      <c r="G22" s="6" t="str">
        <f>IF('Nation Non-Social Pop Demograph'!J22="", "", ('Nation-Wide Education Seg'!C22/'Nation Non-Social Pop Demograph'!J22)*10000)</f>
        <v/>
      </c>
      <c r="H22" s="6"/>
      <c r="I22" s="6"/>
      <c r="J22" s="6"/>
      <c r="K22" s="6" t="str">
        <f>IF('Nation Wise Summary'!U22="", "", 'Nation-Wide Education Seg'!H22/'Nation Wise Summary'!U22)</f>
        <v/>
      </c>
      <c r="L22" s="6" t="str">
        <f>IF('Nation Non-Social Pop Demograph'!B22="", "", ('Nation-Wide Education Seg'!H22/'Nation Non-Social Pop Demograph'!B22)*10000)</f>
        <v/>
      </c>
      <c r="M22" s="6" t="str">
        <f>IF('Nation Non-Social Pop Demograph'!N22="", "", ('Nation-Wide Education Seg'!H22/'Nation Non-Social Pop Demograph'!N22)*10000)</f>
        <v/>
      </c>
      <c r="N22" s="6"/>
      <c r="O22" s="6"/>
      <c r="P22" s="6"/>
      <c r="Q22" s="6"/>
    </row>
    <row r="23" spans="1:17" x14ac:dyDescent="0.3">
      <c r="A23" s="6" t="s">
        <v>440</v>
      </c>
      <c r="B23" s="6"/>
      <c r="C23" s="6"/>
      <c r="D23" s="6"/>
      <c r="E23" s="6" t="str">
        <f>IF('Nation Wise Summary'!U23="", "", (C23/'Nation Wise Summary'!U23)*100)</f>
        <v/>
      </c>
      <c r="F23" s="6" t="str">
        <f>IF('Nation Non-Social Pop Demograph'!B23="", "", ('Nation-Wide Education Seg'!C23/'Nation Non-Social Pop Demograph'!B23)*10000)</f>
        <v/>
      </c>
      <c r="G23" s="6" t="str">
        <f>IF('Nation Non-Social Pop Demograph'!J23="", "", ('Nation-Wide Education Seg'!C23/'Nation Non-Social Pop Demograph'!J23)*10000)</f>
        <v/>
      </c>
      <c r="H23" s="6"/>
      <c r="I23" s="6"/>
      <c r="J23" s="6"/>
      <c r="K23" s="6" t="str">
        <f>IF('Nation Wise Summary'!U23="", "", 'Nation-Wide Education Seg'!H23/'Nation Wise Summary'!U23)</f>
        <v/>
      </c>
      <c r="L23" s="6" t="str">
        <f>IF('Nation Non-Social Pop Demograph'!B23="", "", ('Nation-Wide Education Seg'!H23/'Nation Non-Social Pop Demograph'!B23)*10000)</f>
        <v/>
      </c>
      <c r="M23" s="6" t="str">
        <f>IF('Nation Non-Social Pop Demograph'!N23="", "", ('Nation-Wide Education Seg'!H23/'Nation Non-Social Pop Demograph'!N23)*10000)</f>
        <v/>
      </c>
      <c r="N23" s="6"/>
      <c r="O23" s="6"/>
      <c r="P23" s="6"/>
      <c r="Q23" s="6"/>
    </row>
    <row r="24" spans="1:17" x14ac:dyDescent="0.3">
      <c r="A24" s="6" t="s">
        <v>86</v>
      </c>
      <c r="B24" s="6"/>
      <c r="C24" s="6"/>
      <c r="D24" s="6"/>
      <c r="E24" s="6" t="str">
        <f>IF('Nation Wise Summary'!U24="", "", (C24/'Nation Wise Summary'!U24)*100)</f>
        <v/>
      </c>
      <c r="F24" s="6" t="str">
        <f>IF('Nation Non-Social Pop Demograph'!B24="", "", ('Nation-Wide Education Seg'!C24/'Nation Non-Social Pop Demograph'!B24)*10000)</f>
        <v/>
      </c>
      <c r="G24" s="6" t="str">
        <f>IF('Nation Non-Social Pop Demograph'!J24="", "", ('Nation-Wide Education Seg'!C24/'Nation Non-Social Pop Demograph'!J24)*10000)</f>
        <v/>
      </c>
      <c r="H24" s="6"/>
      <c r="I24" s="6"/>
      <c r="J24" s="6"/>
      <c r="K24" s="6" t="str">
        <f>IF('Nation Wise Summary'!U24="", "", 'Nation-Wide Education Seg'!H24/'Nation Wise Summary'!U24)</f>
        <v/>
      </c>
      <c r="L24" s="6" t="str">
        <f>IF('Nation Non-Social Pop Demograph'!B24="", "", ('Nation-Wide Education Seg'!H24/'Nation Non-Social Pop Demograph'!B24)*10000)</f>
        <v/>
      </c>
      <c r="M24" s="6" t="str">
        <f>IF('Nation Non-Social Pop Demograph'!N24="", "", ('Nation-Wide Education Seg'!H24/'Nation Non-Social Pop Demograph'!N24)*10000)</f>
        <v/>
      </c>
      <c r="N24" s="6"/>
      <c r="O24" s="6"/>
      <c r="P24" s="6"/>
      <c r="Q24" s="6"/>
    </row>
    <row r="25" spans="1:17" x14ac:dyDescent="0.3">
      <c r="A25" s="6" t="s">
        <v>89</v>
      </c>
      <c r="B25" s="6"/>
      <c r="C25" s="6"/>
      <c r="D25" s="6"/>
      <c r="E25" s="6" t="str">
        <f>IF('Nation Wise Summary'!U25="", "", (C25/'Nation Wise Summary'!U25)*100)</f>
        <v/>
      </c>
      <c r="F25" s="6" t="str">
        <f>IF('Nation Non-Social Pop Demograph'!B25="", "", ('Nation-Wide Education Seg'!C25/'Nation Non-Social Pop Demograph'!B25)*10000)</f>
        <v/>
      </c>
      <c r="G25" s="6" t="str">
        <f>IF('Nation Non-Social Pop Demograph'!J25="", "", ('Nation-Wide Education Seg'!C25/'Nation Non-Social Pop Demograph'!J25)*10000)</f>
        <v/>
      </c>
      <c r="H25" s="6"/>
      <c r="I25" s="6"/>
      <c r="J25" s="6"/>
      <c r="K25" s="6" t="str">
        <f>IF('Nation Wise Summary'!U25="", "", 'Nation-Wide Education Seg'!H25/'Nation Wise Summary'!U25)</f>
        <v/>
      </c>
      <c r="L25" s="6" t="str">
        <f>IF('Nation Non-Social Pop Demograph'!B25="", "", ('Nation-Wide Education Seg'!H25/'Nation Non-Social Pop Demograph'!B25)*10000)</f>
        <v/>
      </c>
      <c r="M25" s="6" t="str">
        <f>IF('Nation Non-Social Pop Demograph'!N25="", "", ('Nation-Wide Education Seg'!H25/'Nation Non-Social Pop Demograph'!N25)*10000)</f>
        <v/>
      </c>
      <c r="N25" s="6"/>
      <c r="O25" s="6"/>
      <c r="P25" s="6"/>
      <c r="Q25" s="6"/>
    </row>
    <row r="26" spans="1:17" x14ac:dyDescent="0.3">
      <c r="A26" s="6" t="s">
        <v>92</v>
      </c>
      <c r="B26" s="6"/>
      <c r="C26" s="6"/>
      <c r="D26" s="6"/>
      <c r="E26" s="6" t="str">
        <f>IF('Nation Wise Summary'!U26="", "", (C26/'Nation Wise Summary'!U26)*100)</f>
        <v/>
      </c>
      <c r="F26" s="6" t="str">
        <f>IF('Nation Non-Social Pop Demograph'!B26="", "", ('Nation-Wide Education Seg'!C26/'Nation Non-Social Pop Demograph'!B26)*10000)</f>
        <v/>
      </c>
      <c r="G26" s="6" t="str">
        <f>IF('Nation Non-Social Pop Demograph'!J26="", "", ('Nation-Wide Education Seg'!C26/'Nation Non-Social Pop Demograph'!J26)*10000)</f>
        <v/>
      </c>
      <c r="H26" s="6"/>
      <c r="I26" s="6"/>
      <c r="J26" s="6"/>
      <c r="K26" s="6" t="str">
        <f>IF('Nation Wise Summary'!U26="", "", 'Nation-Wide Education Seg'!H26/'Nation Wise Summary'!U26)</f>
        <v/>
      </c>
      <c r="L26" s="6" t="str">
        <f>IF('Nation Non-Social Pop Demograph'!B26="", "", ('Nation-Wide Education Seg'!H26/'Nation Non-Social Pop Demograph'!B26)*10000)</f>
        <v/>
      </c>
      <c r="M26" s="6" t="str">
        <f>IF('Nation Non-Social Pop Demograph'!N26="", "", ('Nation-Wide Education Seg'!H26/'Nation Non-Social Pop Demograph'!N26)*10000)</f>
        <v/>
      </c>
      <c r="N26" s="6"/>
      <c r="O26" s="6"/>
      <c r="P26" s="6"/>
      <c r="Q26" s="6"/>
    </row>
    <row r="27" spans="1:17" x14ac:dyDescent="0.3">
      <c r="A27" s="6" t="s">
        <v>95</v>
      </c>
      <c r="B27" s="6"/>
      <c r="C27" s="6"/>
      <c r="D27" s="6"/>
      <c r="E27" s="6" t="str">
        <f>IF('Nation Wise Summary'!U27="", "", (C27/'Nation Wise Summary'!U27)*100)</f>
        <v/>
      </c>
      <c r="F27" s="6" t="str">
        <f>IF('Nation Non-Social Pop Demograph'!B27="", "", ('Nation-Wide Education Seg'!C27/'Nation Non-Social Pop Demograph'!B27)*10000)</f>
        <v/>
      </c>
      <c r="G27" s="6" t="str">
        <f>IF('Nation Non-Social Pop Demograph'!J27="", "", ('Nation-Wide Education Seg'!C27/'Nation Non-Social Pop Demograph'!J27)*10000)</f>
        <v/>
      </c>
      <c r="H27" s="6"/>
      <c r="I27" s="6"/>
      <c r="J27" s="6"/>
      <c r="K27" s="6" t="str">
        <f>IF('Nation Wise Summary'!U27="", "", 'Nation-Wide Education Seg'!H27/'Nation Wise Summary'!U27)</f>
        <v/>
      </c>
      <c r="L27" s="6" t="str">
        <f>IF('Nation Non-Social Pop Demograph'!B27="", "", ('Nation-Wide Education Seg'!H27/'Nation Non-Social Pop Demograph'!B27)*10000)</f>
        <v/>
      </c>
      <c r="M27" s="6" t="str">
        <f>IF('Nation Non-Social Pop Demograph'!N27="", "", ('Nation-Wide Education Seg'!H27/'Nation Non-Social Pop Demograph'!N27)*10000)</f>
        <v/>
      </c>
      <c r="N27" s="6"/>
      <c r="O27" s="6"/>
      <c r="P27" s="6"/>
      <c r="Q27" s="6"/>
    </row>
    <row r="28" spans="1:17" x14ac:dyDescent="0.3">
      <c r="A28" s="6" t="s">
        <v>98</v>
      </c>
      <c r="B28" s="6"/>
      <c r="C28" s="6"/>
      <c r="D28" s="6"/>
      <c r="E28" s="6" t="str">
        <f>IF('Nation Wise Summary'!U28="", "", (C28/'Nation Wise Summary'!U28)*100)</f>
        <v/>
      </c>
      <c r="F28" s="6" t="str">
        <f>IF('Nation Non-Social Pop Demograph'!B28="", "", ('Nation-Wide Education Seg'!C28/'Nation Non-Social Pop Demograph'!B28)*10000)</f>
        <v/>
      </c>
      <c r="G28" s="6" t="str">
        <f>IF('Nation Non-Social Pop Demograph'!J28="", "", ('Nation-Wide Education Seg'!C28/'Nation Non-Social Pop Demograph'!J28)*10000)</f>
        <v/>
      </c>
      <c r="H28" s="6"/>
      <c r="I28" s="6"/>
      <c r="J28" s="6"/>
      <c r="K28" s="6" t="str">
        <f>IF('Nation Wise Summary'!U28="", "", 'Nation-Wide Education Seg'!H28/'Nation Wise Summary'!U28)</f>
        <v/>
      </c>
      <c r="L28" s="6" t="str">
        <f>IF('Nation Non-Social Pop Demograph'!B28="", "", ('Nation-Wide Education Seg'!H28/'Nation Non-Social Pop Demograph'!B28)*10000)</f>
        <v/>
      </c>
      <c r="M28" s="6" t="str">
        <f>IF('Nation Non-Social Pop Demograph'!N28="", "", ('Nation-Wide Education Seg'!H28/'Nation Non-Social Pop Demograph'!N28)*10000)</f>
        <v/>
      </c>
      <c r="N28" s="6"/>
      <c r="O28" s="6"/>
      <c r="P28" s="6"/>
      <c r="Q28" s="6"/>
    </row>
    <row r="29" spans="1:17" x14ac:dyDescent="0.3">
      <c r="A29" s="6" t="s">
        <v>101</v>
      </c>
      <c r="B29" s="6"/>
      <c r="C29" s="6"/>
      <c r="D29" s="6"/>
      <c r="E29" s="6" t="str">
        <f>IF('Nation Wise Summary'!U29="", "", (C29/'Nation Wise Summary'!U29)*100)</f>
        <v/>
      </c>
      <c r="F29" s="6" t="str">
        <f>IF('Nation Non-Social Pop Demograph'!B29="", "", ('Nation-Wide Education Seg'!C29/'Nation Non-Social Pop Demograph'!B29)*10000)</f>
        <v/>
      </c>
      <c r="G29" s="6" t="str">
        <f>IF('Nation Non-Social Pop Demograph'!J29="", "", ('Nation-Wide Education Seg'!C29/'Nation Non-Social Pop Demograph'!J29)*10000)</f>
        <v/>
      </c>
      <c r="H29" s="6"/>
      <c r="I29" s="6"/>
      <c r="J29" s="6"/>
      <c r="K29" s="6" t="str">
        <f>IF('Nation Wise Summary'!U29="", "", 'Nation-Wide Education Seg'!H29/'Nation Wise Summary'!U29)</f>
        <v/>
      </c>
      <c r="L29" s="6" t="str">
        <f>IF('Nation Non-Social Pop Demograph'!B29="", "", ('Nation-Wide Education Seg'!H29/'Nation Non-Social Pop Demograph'!B29)*10000)</f>
        <v/>
      </c>
      <c r="M29" s="6" t="str">
        <f>IF('Nation Non-Social Pop Demograph'!N29="", "", ('Nation-Wide Education Seg'!H29/'Nation Non-Social Pop Demograph'!N29)*10000)</f>
        <v/>
      </c>
      <c r="N29" s="6"/>
      <c r="O29" s="6"/>
      <c r="P29" s="6"/>
      <c r="Q29" s="6"/>
    </row>
    <row r="30" spans="1:17" x14ac:dyDescent="0.3">
      <c r="A30" s="6" t="s">
        <v>104</v>
      </c>
      <c r="B30" s="6"/>
      <c r="C30" s="6"/>
      <c r="D30" s="6"/>
      <c r="E30" s="6" t="str">
        <f>IF('Nation Wise Summary'!U30="", "", (C30/'Nation Wise Summary'!U30)*100)</f>
        <v/>
      </c>
      <c r="F30" s="6" t="str">
        <f>IF('Nation Non-Social Pop Demograph'!B30="", "", ('Nation-Wide Education Seg'!C30/'Nation Non-Social Pop Demograph'!B30)*10000)</f>
        <v/>
      </c>
      <c r="G30" s="6" t="str">
        <f>IF('Nation Non-Social Pop Demograph'!J30="", "", ('Nation-Wide Education Seg'!C30/'Nation Non-Social Pop Demograph'!J30)*10000)</f>
        <v/>
      </c>
      <c r="H30" s="6"/>
      <c r="I30" s="6"/>
      <c r="J30" s="6"/>
      <c r="K30" s="6" t="str">
        <f>IF('Nation Wise Summary'!U30="", "", 'Nation-Wide Education Seg'!H30/'Nation Wise Summary'!U30)</f>
        <v/>
      </c>
      <c r="L30" s="6" t="str">
        <f>IF('Nation Non-Social Pop Demograph'!B30="", "", ('Nation-Wide Education Seg'!H30/'Nation Non-Social Pop Demograph'!B30)*10000)</f>
        <v/>
      </c>
      <c r="M30" s="6" t="str">
        <f>IF('Nation Non-Social Pop Demograph'!N30="", "", ('Nation-Wide Education Seg'!H30/'Nation Non-Social Pop Demograph'!N30)*10000)</f>
        <v/>
      </c>
      <c r="N30" s="6"/>
      <c r="O30" s="6"/>
      <c r="P30" s="6"/>
      <c r="Q30" s="6"/>
    </row>
    <row r="31" spans="1:17" x14ac:dyDescent="0.3">
      <c r="A31" s="6" t="s">
        <v>107</v>
      </c>
      <c r="B31" s="6"/>
      <c r="C31" s="6"/>
      <c r="D31" s="6"/>
      <c r="E31" s="6" t="str">
        <f>IF('Nation Wise Summary'!U31="", "", (C31/'Nation Wise Summary'!U31)*100)</f>
        <v/>
      </c>
      <c r="F31" s="6" t="str">
        <f>IF('Nation Non-Social Pop Demograph'!B31="", "", ('Nation-Wide Education Seg'!C31/'Nation Non-Social Pop Demograph'!B31)*10000)</f>
        <v/>
      </c>
      <c r="G31" s="6" t="str">
        <f>IF('Nation Non-Social Pop Demograph'!J31="", "", ('Nation-Wide Education Seg'!C31/'Nation Non-Social Pop Demograph'!J31)*10000)</f>
        <v/>
      </c>
      <c r="H31" s="6"/>
      <c r="I31" s="6"/>
      <c r="J31" s="6"/>
      <c r="K31" s="6" t="str">
        <f>IF('Nation Wise Summary'!U31="", "", 'Nation-Wide Education Seg'!H31/'Nation Wise Summary'!U31)</f>
        <v/>
      </c>
      <c r="L31" s="6" t="str">
        <f>IF('Nation Non-Social Pop Demograph'!B31="", "", ('Nation-Wide Education Seg'!H31/'Nation Non-Social Pop Demograph'!B31)*10000)</f>
        <v/>
      </c>
      <c r="M31" s="6" t="str">
        <f>IF('Nation Non-Social Pop Demograph'!N31="", "", ('Nation-Wide Education Seg'!H31/'Nation Non-Social Pop Demograph'!N31)*10000)</f>
        <v/>
      </c>
      <c r="N31" s="6"/>
      <c r="O31" s="6"/>
      <c r="P31" s="6"/>
      <c r="Q31" s="6"/>
    </row>
    <row r="32" spans="1:17" x14ac:dyDescent="0.3">
      <c r="A32" s="6" t="s">
        <v>111</v>
      </c>
      <c r="B32" s="6"/>
      <c r="C32" s="6"/>
      <c r="D32" s="6"/>
      <c r="E32" s="6" t="str">
        <f>IF('Nation Wise Summary'!U32="", "", (C32/'Nation Wise Summary'!U32)*100)</f>
        <v/>
      </c>
      <c r="F32" s="6" t="str">
        <f>IF('Nation Non-Social Pop Demograph'!B32="", "", ('Nation-Wide Education Seg'!C32/'Nation Non-Social Pop Demograph'!B32)*10000)</f>
        <v/>
      </c>
      <c r="G32" s="6" t="str">
        <f>IF('Nation Non-Social Pop Demograph'!J32="", "", ('Nation-Wide Education Seg'!C32/'Nation Non-Social Pop Demograph'!J32)*10000)</f>
        <v/>
      </c>
      <c r="H32" s="6"/>
      <c r="I32" s="6"/>
      <c r="J32" s="6"/>
      <c r="K32" s="6" t="str">
        <f>IF('Nation Wise Summary'!U32="", "", 'Nation-Wide Education Seg'!H32/'Nation Wise Summary'!U32)</f>
        <v/>
      </c>
      <c r="L32" s="6" t="str">
        <f>IF('Nation Non-Social Pop Demograph'!B32="", "", ('Nation-Wide Education Seg'!H32/'Nation Non-Social Pop Demograph'!B32)*10000)</f>
        <v/>
      </c>
      <c r="M32" s="6" t="str">
        <f>IF('Nation Non-Social Pop Demograph'!N32="", "", ('Nation-Wide Education Seg'!H32/'Nation Non-Social Pop Demograph'!N32)*10000)</f>
        <v/>
      </c>
      <c r="N32" s="6"/>
      <c r="O32" s="6"/>
      <c r="P32" s="6"/>
      <c r="Q32" s="6"/>
    </row>
    <row r="33" spans="1:17" x14ac:dyDescent="0.3">
      <c r="A33" s="6" t="s">
        <v>114</v>
      </c>
      <c r="B33" s="6"/>
      <c r="C33" s="6"/>
      <c r="D33" s="6"/>
      <c r="E33" s="6" t="str">
        <f>IF('Nation Wise Summary'!U33="", "", (C33/'Nation Wise Summary'!U33)*100)</f>
        <v/>
      </c>
      <c r="F33" s="6" t="str">
        <f>IF('Nation Non-Social Pop Demograph'!B33="", "", ('Nation-Wide Education Seg'!C33/'Nation Non-Social Pop Demograph'!B33)*10000)</f>
        <v/>
      </c>
      <c r="G33" s="6" t="str">
        <f>IF('Nation Non-Social Pop Demograph'!J33="", "", ('Nation-Wide Education Seg'!C33/'Nation Non-Social Pop Demograph'!J33)*10000)</f>
        <v/>
      </c>
      <c r="H33" s="6"/>
      <c r="I33" s="6"/>
      <c r="J33" s="6"/>
      <c r="K33" s="6" t="str">
        <f>IF('Nation Wise Summary'!U33="", "", 'Nation-Wide Education Seg'!H33/'Nation Wise Summary'!U33)</f>
        <v/>
      </c>
      <c r="L33" s="6" t="str">
        <f>IF('Nation Non-Social Pop Demograph'!B33="", "", ('Nation-Wide Education Seg'!H33/'Nation Non-Social Pop Demograph'!B33)*10000)</f>
        <v/>
      </c>
      <c r="M33" s="6" t="str">
        <f>IF('Nation Non-Social Pop Demograph'!N33="", "", ('Nation-Wide Education Seg'!H33/'Nation Non-Social Pop Demograph'!N33)*10000)</f>
        <v/>
      </c>
      <c r="N33" s="6"/>
      <c r="O33" s="6"/>
      <c r="P33" s="6"/>
      <c r="Q33" s="6"/>
    </row>
    <row r="34" spans="1:17" x14ac:dyDescent="0.3">
      <c r="A34" s="6" t="s">
        <v>266</v>
      </c>
      <c r="B34" s="6"/>
      <c r="C34" s="6"/>
      <c r="D34" s="6"/>
      <c r="E34" s="6" t="str">
        <f>IF('Nation Wise Summary'!U34="", "", (C34/'Nation Wise Summary'!U34)*100)</f>
        <v/>
      </c>
      <c r="F34" s="6" t="str">
        <f>IF('Nation Non-Social Pop Demograph'!B34="", "", ('Nation-Wide Education Seg'!C34/'Nation Non-Social Pop Demograph'!B34)*10000)</f>
        <v/>
      </c>
      <c r="G34" s="6" t="str">
        <f>IF('Nation Non-Social Pop Demograph'!J34="", "", ('Nation-Wide Education Seg'!C34/'Nation Non-Social Pop Demograph'!J34)*10000)</f>
        <v/>
      </c>
      <c r="H34" s="6"/>
      <c r="I34" s="6"/>
      <c r="J34" s="6"/>
      <c r="K34" s="6" t="str">
        <f>IF('Nation Wise Summary'!U34="", "", 'Nation-Wide Education Seg'!H34/'Nation Wise Summary'!U34)</f>
        <v/>
      </c>
      <c r="L34" s="6" t="str">
        <f>IF('Nation Non-Social Pop Demograph'!B34="", "", ('Nation-Wide Education Seg'!H34/'Nation Non-Social Pop Demograph'!B34)*10000)</f>
        <v/>
      </c>
      <c r="M34" s="6" t="str">
        <f>IF('Nation Non-Social Pop Demograph'!N34="", "", ('Nation-Wide Education Seg'!H34/'Nation Non-Social Pop Demograph'!N34)*10000)</f>
        <v/>
      </c>
      <c r="N34" s="6"/>
      <c r="O34" s="6"/>
      <c r="P34" s="6"/>
      <c r="Q34" s="6"/>
    </row>
    <row r="35" spans="1:17" x14ac:dyDescent="0.3">
      <c r="A35" s="6" t="s">
        <v>269</v>
      </c>
      <c r="B35" s="6"/>
      <c r="C35" s="6"/>
      <c r="D35" s="6"/>
      <c r="E35" s="6" t="str">
        <f>IF('Nation Wise Summary'!U35="", "", (C35/'Nation Wise Summary'!U35)*100)</f>
        <v/>
      </c>
      <c r="F35" s="6" t="str">
        <f>IF('Nation Non-Social Pop Demograph'!B35="", "", ('Nation-Wide Education Seg'!C35/'Nation Non-Social Pop Demograph'!B35)*10000)</f>
        <v/>
      </c>
      <c r="G35" s="6" t="str">
        <f>IF('Nation Non-Social Pop Demograph'!J35="", "", ('Nation-Wide Education Seg'!C35/'Nation Non-Social Pop Demograph'!J35)*10000)</f>
        <v/>
      </c>
      <c r="H35" s="6"/>
      <c r="I35" s="6"/>
      <c r="J35" s="6"/>
      <c r="K35" s="6" t="str">
        <f>IF('Nation Wise Summary'!U35="", "", 'Nation-Wide Education Seg'!H35/'Nation Wise Summary'!U35)</f>
        <v/>
      </c>
      <c r="L35" s="6" t="str">
        <f>IF('Nation Non-Social Pop Demograph'!B35="", "", ('Nation-Wide Education Seg'!H35/'Nation Non-Social Pop Demograph'!B35)*10000)</f>
        <v/>
      </c>
      <c r="M35" s="6" t="str">
        <f>IF('Nation Non-Social Pop Demograph'!N35="", "", ('Nation-Wide Education Seg'!H35/'Nation Non-Social Pop Demograph'!N35)*10000)</f>
        <v/>
      </c>
      <c r="N35" s="6"/>
      <c r="O35" s="6"/>
      <c r="P35" s="6"/>
      <c r="Q35" s="6"/>
    </row>
    <row r="36" spans="1:17" x14ac:dyDescent="0.3">
      <c r="A36" s="6" t="s">
        <v>117</v>
      </c>
      <c r="B36" s="6"/>
      <c r="C36" s="6"/>
      <c r="D36" s="6"/>
      <c r="E36" s="6" t="str">
        <f>IF('Nation Wise Summary'!U36="", "", (C36/'Nation Wise Summary'!U36)*100)</f>
        <v/>
      </c>
      <c r="F36" s="6" t="str">
        <f>IF('Nation Non-Social Pop Demograph'!B36="", "", ('Nation-Wide Education Seg'!C36/'Nation Non-Social Pop Demograph'!B36)*10000)</f>
        <v/>
      </c>
      <c r="G36" s="6" t="str">
        <f>IF('Nation Non-Social Pop Demograph'!J36="", "", ('Nation-Wide Education Seg'!C36/'Nation Non-Social Pop Demograph'!J36)*10000)</f>
        <v/>
      </c>
      <c r="H36" s="6"/>
      <c r="I36" s="6"/>
      <c r="J36" s="6"/>
      <c r="K36" s="6" t="str">
        <f>IF('Nation Wise Summary'!U36="", "", 'Nation-Wide Education Seg'!H36/'Nation Wise Summary'!U36)</f>
        <v/>
      </c>
      <c r="L36" s="6" t="str">
        <f>IF('Nation Non-Social Pop Demograph'!B36="", "", ('Nation-Wide Education Seg'!H36/'Nation Non-Social Pop Demograph'!B36)*10000)</f>
        <v/>
      </c>
      <c r="M36" s="6" t="str">
        <f>IF('Nation Non-Social Pop Demograph'!N36="", "", ('Nation-Wide Education Seg'!H36/'Nation Non-Social Pop Demograph'!N36)*10000)</f>
        <v/>
      </c>
      <c r="N36" s="6"/>
      <c r="O36" s="6"/>
      <c r="P36" s="6"/>
      <c r="Q36" s="6"/>
    </row>
    <row r="37" spans="1:17" x14ac:dyDescent="0.3">
      <c r="A37" s="6" t="s">
        <v>120</v>
      </c>
      <c r="B37" s="6"/>
      <c r="C37" s="6"/>
      <c r="D37" s="6"/>
      <c r="E37" s="6" t="str">
        <f>IF('Nation Wise Summary'!U37="", "", (C37/'Nation Wise Summary'!U37)*100)</f>
        <v/>
      </c>
      <c r="F37" s="6" t="str">
        <f>IF('Nation Non-Social Pop Demograph'!B37="", "", ('Nation-Wide Education Seg'!C37/'Nation Non-Social Pop Demograph'!B37)*10000)</f>
        <v/>
      </c>
      <c r="G37" s="6" t="str">
        <f>IF('Nation Non-Social Pop Demograph'!J37="", "", ('Nation-Wide Education Seg'!C37/'Nation Non-Social Pop Demograph'!J37)*10000)</f>
        <v/>
      </c>
      <c r="H37" s="6"/>
      <c r="I37" s="6"/>
      <c r="J37" s="6"/>
      <c r="K37" s="6" t="str">
        <f>IF('Nation Wise Summary'!U37="", "", 'Nation-Wide Education Seg'!H37/'Nation Wise Summary'!U37)</f>
        <v/>
      </c>
      <c r="L37" s="6" t="str">
        <f>IF('Nation Non-Social Pop Demograph'!B37="", "", ('Nation-Wide Education Seg'!H37/'Nation Non-Social Pop Demograph'!B37)*10000)</f>
        <v/>
      </c>
      <c r="M37" s="6" t="str">
        <f>IF('Nation Non-Social Pop Demograph'!N37="", "", ('Nation-Wide Education Seg'!H37/'Nation Non-Social Pop Demograph'!N37)*10000)</f>
        <v/>
      </c>
      <c r="N37" s="6"/>
      <c r="O37" s="6"/>
      <c r="P37" s="6"/>
      <c r="Q37" s="6"/>
    </row>
    <row r="38" spans="1:17" x14ac:dyDescent="0.3">
      <c r="A38" s="6" t="s">
        <v>123</v>
      </c>
      <c r="B38" s="6"/>
      <c r="C38" s="6"/>
      <c r="D38" s="6"/>
      <c r="E38" s="6" t="str">
        <f>IF('Nation Wise Summary'!U38="", "", (C38/'Nation Wise Summary'!U38)*100)</f>
        <v/>
      </c>
      <c r="F38" s="6" t="str">
        <f>IF('Nation Non-Social Pop Demograph'!B38="", "", ('Nation-Wide Education Seg'!C38/'Nation Non-Social Pop Demograph'!B38)*10000)</f>
        <v/>
      </c>
      <c r="G38" s="6" t="str">
        <f>IF('Nation Non-Social Pop Demograph'!J38="", "", ('Nation-Wide Education Seg'!C38/'Nation Non-Social Pop Demograph'!J38)*10000)</f>
        <v/>
      </c>
      <c r="H38" s="6"/>
      <c r="I38" s="6"/>
      <c r="J38" s="6"/>
      <c r="K38" s="6" t="str">
        <f>IF('Nation Wise Summary'!U38="", "", 'Nation-Wide Education Seg'!H38/'Nation Wise Summary'!U38)</f>
        <v/>
      </c>
      <c r="L38" s="6" t="str">
        <f>IF('Nation Non-Social Pop Demograph'!B38="", "", ('Nation-Wide Education Seg'!H38/'Nation Non-Social Pop Demograph'!B38)*10000)</f>
        <v/>
      </c>
      <c r="M38" s="6" t="str">
        <f>IF('Nation Non-Social Pop Demograph'!N38="", "", ('Nation-Wide Education Seg'!H38/'Nation Non-Social Pop Demograph'!N38)*10000)</f>
        <v/>
      </c>
      <c r="N38" s="6"/>
      <c r="O38" s="6"/>
      <c r="P38" s="6"/>
      <c r="Q38" s="6"/>
    </row>
    <row r="39" spans="1:17" x14ac:dyDescent="0.3">
      <c r="A39" s="6" t="s">
        <v>10</v>
      </c>
      <c r="B39" s="6"/>
      <c r="C39" s="6"/>
      <c r="D39" s="6"/>
      <c r="E39" s="6" t="str">
        <f>IF('Nation Wise Summary'!U39="", "", (C39/'Nation Wise Summary'!U39)*100)</f>
        <v/>
      </c>
      <c r="F39" s="6" t="str">
        <f>IF('Nation Non-Social Pop Demograph'!B39="", "", ('Nation-Wide Education Seg'!C39/'Nation Non-Social Pop Demograph'!B39)*10000)</f>
        <v/>
      </c>
      <c r="G39" s="6" t="str">
        <f>IF('Nation Non-Social Pop Demograph'!J39="", "", ('Nation-Wide Education Seg'!C39/'Nation Non-Social Pop Demograph'!J39)*10000)</f>
        <v/>
      </c>
      <c r="H39" s="6"/>
      <c r="I39" s="6"/>
      <c r="J39" s="6"/>
      <c r="K39" s="6" t="str">
        <f>IF('Nation Wise Summary'!U39="", "", 'Nation-Wide Education Seg'!H39/'Nation Wise Summary'!U39)</f>
        <v/>
      </c>
      <c r="L39" s="6" t="str">
        <f>IF('Nation Non-Social Pop Demograph'!B39="", "", ('Nation-Wide Education Seg'!H39/'Nation Non-Social Pop Demograph'!B39)*10000)</f>
        <v/>
      </c>
      <c r="M39" s="6" t="str">
        <f>IF('Nation Non-Social Pop Demograph'!N39="", "", ('Nation-Wide Education Seg'!H39/'Nation Non-Social Pop Demograph'!N39)*10000)</f>
        <v/>
      </c>
      <c r="N39" s="6"/>
      <c r="O39" s="6"/>
      <c r="P39" s="6"/>
      <c r="Q39" s="6"/>
    </row>
    <row r="40" spans="1:17" x14ac:dyDescent="0.3">
      <c r="A40" s="6" t="s">
        <v>465</v>
      </c>
      <c r="B40" s="6"/>
      <c r="C40" s="6"/>
      <c r="D40" s="6"/>
      <c r="E40" s="6" t="str">
        <f>IF('Nation Wise Summary'!U40="", "", (C40/'Nation Wise Summary'!U40)*100)</f>
        <v/>
      </c>
      <c r="F40" s="6" t="str">
        <f>IF('Nation Non-Social Pop Demograph'!B40="", "", ('Nation-Wide Education Seg'!C40/'Nation Non-Social Pop Demograph'!B40)*10000)</f>
        <v/>
      </c>
      <c r="G40" s="6" t="str">
        <f>IF('Nation Non-Social Pop Demograph'!J40="", "", ('Nation-Wide Education Seg'!C40/'Nation Non-Social Pop Demograph'!J40)*10000)</f>
        <v/>
      </c>
      <c r="H40" s="6"/>
      <c r="I40" s="6"/>
      <c r="J40" s="6"/>
      <c r="K40" s="6" t="str">
        <f>IF('Nation Wise Summary'!U40="", "", 'Nation-Wide Education Seg'!H40/'Nation Wise Summary'!U40)</f>
        <v/>
      </c>
      <c r="L40" s="6" t="str">
        <f>IF('Nation Non-Social Pop Demograph'!B40="", "", ('Nation-Wide Education Seg'!H40/'Nation Non-Social Pop Demograph'!B40)*10000)</f>
        <v/>
      </c>
      <c r="M40" s="6" t="str">
        <f>IF('Nation Non-Social Pop Demograph'!N40="", "", ('Nation-Wide Education Seg'!H40/'Nation Non-Social Pop Demograph'!N40)*10000)</f>
        <v/>
      </c>
      <c r="N40" s="6"/>
      <c r="O40" s="6"/>
      <c r="P40" s="6"/>
      <c r="Q40" s="6"/>
    </row>
    <row r="41" spans="1:17" x14ac:dyDescent="0.3">
      <c r="A41" s="6" t="s">
        <v>466</v>
      </c>
      <c r="B41" s="6"/>
      <c r="C41" s="6"/>
      <c r="D41" s="6"/>
      <c r="E41" s="6" t="str">
        <f>IF('Nation Wise Summary'!U41="", "", (C41/'Nation Wise Summary'!U41)*100)</f>
        <v/>
      </c>
      <c r="F41" s="6" t="str">
        <f>IF('Nation Non-Social Pop Demograph'!B41="", "", ('Nation-Wide Education Seg'!C41/'Nation Non-Social Pop Demograph'!B41)*10000)</f>
        <v/>
      </c>
      <c r="G41" s="6" t="str">
        <f>IF('Nation Non-Social Pop Demograph'!J41="", "", ('Nation-Wide Education Seg'!C41/'Nation Non-Social Pop Demograph'!J41)*10000)</f>
        <v/>
      </c>
      <c r="H41" s="6"/>
      <c r="I41" s="6"/>
      <c r="J41" s="6"/>
      <c r="K41" s="6" t="str">
        <f>IF('Nation Wise Summary'!U41="", "", 'Nation-Wide Education Seg'!H41/'Nation Wise Summary'!U41)</f>
        <v/>
      </c>
      <c r="L41" s="6" t="str">
        <f>IF('Nation Non-Social Pop Demograph'!B41="", "", ('Nation-Wide Education Seg'!H41/'Nation Non-Social Pop Demograph'!B41)*10000)</f>
        <v/>
      </c>
      <c r="M41" s="6" t="str">
        <f>IF('Nation Non-Social Pop Demograph'!N41="", "", ('Nation-Wide Education Seg'!H41/'Nation Non-Social Pop Demograph'!N41)*10000)</f>
        <v/>
      </c>
      <c r="N41" s="6"/>
      <c r="O41" s="6"/>
      <c r="P41" s="6"/>
      <c r="Q41" s="6"/>
    </row>
    <row r="42" spans="1:17" x14ac:dyDescent="0.3">
      <c r="A42" s="6" t="s">
        <v>467</v>
      </c>
      <c r="B42" s="6"/>
      <c r="C42" s="6"/>
      <c r="D42" s="6"/>
      <c r="E42" s="6" t="str">
        <f>IF('Nation Wise Summary'!U42="", "", (C42/'Nation Wise Summary'!U42)*100)</f>
        <v/>
      </c>
      <c r="F42" s="6" t="str">
        <f>IF('Nation Non-Social Pop Demograph'!B42="", "", ('Nation-Wide Education Seg'!C42/'Nation Non-Social Pop Demograph'!B42)*10000)</f>
        <v/>
      </c>
      <c r="G42" s="6" t="str">
        <f>IF('Nation Non-Social Pop Demograph'!J42="", "", ('Nation-Wide Education Seg'!C42/'Nation Non-Social Pop Demograph'!J42)*10000)</f>
        <v/>
      </c>
      <c r="H42" s="6"/>
      <c r="I42" s="6"/>
      <c r="J42" s="6"/>
      <c r="K42" s="6" t="str">
        <f>IF('Nation Wise Summary'!U42="", "", 'Nation-Wide Education Seg'!H42/'Nation Wise Summary'!U42)</f>
        <v/>
      </c>
      <c r="L42" s="6" t="str">
        <f>IF('Nation Non-Social Pop Demograph'!B42="", "", ('Nation-Wide Education Seg'!H42/'Nation Non-Social Pop Demograph'!B42)*10000)</f>
        <v/>
      </c>
      <c r="M42" s="6" t="str">
        <f>IF('Nation Non-Social Pop Demograph'!N42="", "", ('Nation-Wide Education Seg'!H42/'Nation Non-Social Pop Demograph'!N42)*10000)</f>
        <v/>
      </c>
      <c r="N42" s="6"/>
      <c r="O42" s="6"/>
      <c r="P42" s="6"/>
      <c r="Q42" s="6"/>
    </row>
    <row r="43" spans="1:17" x14ac:dyDescent="0.3">
      <c r="A43" s="6" t="s">
        <v>470</v>
      </c>
      <c r="B43" s="6"/>
      <c r="C43" s="6"/>
      <c r="D43" s="6"/>
      <c r="E43" s="6" t="str">
        <f>IF('Nation Wise Summary'!U43="", "", (C43/'Nation Wise Summary'!U43)*100)</f>
        <v/>
      </c>
      <c r="F43" s="6" t="str">
        <f>IF('Nation Non-Social Pop Demograph'!B43="", "", ('Nation-Wide Education Seg'!C43/'Nation Non-Social Pop Demograph'!B43)*10000)</f>
        <v/>
      </c>
      <c r="G43" s="6" t="str">
        <f>IF('Nation Non-Social Pop Demograph'!J43="", "", ('Nation-Wide Education Seg'!C43/'Nation Non-Social Pop Demograph'!J43)*10000)</f>
        <v/>
      </c>
      <c r="H43" s="6"/>
      <c r="I43" s="6"/>
      <c r="J43" s="6"/>
      <c r="K43" s="6" t="str">
        <f>IF('Nation Wise Summary'!U43="", "", 'Nation-Wide Education Seg'!H43/'Nation Wise Summary'!U43)</f>
        <v/>
      </c>
      <c r="L43" s="6" t="str">
        <f>IF('Nation Non-Social Pop Demograph'!B43="", "", ('Nation-Wide Education Seg'!H43/'Nation Non-Social Pop Demograph'!B43)*10000)</f>
        <v/>
      </c>
      <c r="M43" s="6" t="str">
        <f>IF('Nation Non-Social Pop Demograph'!N43="", "", ('Nation-Wide Education Seg'!H43/'Nation Non-Social Pop Demograph'!N43)*10000)</f>
        <v/>
      </c>
      <c r="N43" s="6"/>
      <c r="O43" s="6"/>
      <c r="P43" s="6"/>
      <c r="Q43" s="6"/>
    </row>
    <row r="44" spans="1:17" x14ac:dyDescent="0.3">
      <c r="A44" s="6" t="s">
        <v>471</v>
      </c>
      <c r="B44" s="6"/>
      <c r="C44" s="6"/>
      <c r="D44" s="6"/>
      <c r="E44" s="6" t="str">
        <f>IF('Nation Wise Summary'!U44="", "", (C44/'Nation Wise Summary'!U44)*100)</f>
        <v/>
      </c>
      <c r="F44" s="6" t="str">
        <f>IF('Nation Non-Social Pop Demograph'!B44="", "", ('Nation-Wide Education Seg'!C44/'Nation Non-Social Pop Demograph'!B44)*10000)</f>
        <v/>
      </c>
      <c r="G44" s="6" t="str">
        <f>IF('Nation Non-Social Pop Demograph'!J44="", "", ('Nation-Wide Education Seg'!C44/'Nation Non-Social Pop Demograph'!J44)*10000)</f>
        <v/>
      </c>
      <c r="H44" s="6"/>
      <c r="I44" s="6"/>
      <c r="J44" s="6"/>
      <c r="K44" s="6" t="str">
        <f>IF('Nation Wise Summary'!U44="", "", 'Nation-Wide Education Seg'!H44/'Nation Wise Summary'!U44)</f>
        <v/>
      </c>
      <c r="L44" s="6" t="str">
        <f>IF('Nation Non-Social Pop Demograph'!B44="", "", ('Nation-Wide Education Seg'!H44/'Nation Non-Social Pop Demograph'!B44)*10000)</f>
        <v/>
      </c>
      <c r="M44" s="6" t="str">
        <f>IF('Nation Non-Social Pop Demograph'!N44="", "", ('Nation-Wide Education Seg'!H44/'Nation Non-Social Pop Demograph'!N44)*10000)</f>
        <v/>
      </c>
      <c r="N44" s="6"/>
      <c r="O44" s="6"/>
      <c r="P44" s="6"/>
      <c r="Q44" s="6"/>
    </row>
    <row r="45" spans="1:17" x14ac:dyDescent="0.3">
      <c r="A45" s="6" t="s">
        <v>472</v>
      </c>
      <c r="B45" s="6"/>
      <c r="C45" s="6"/>
      <c r="D45" s="6"/>
      <c r="E45" s="6" t="str">
        <f>IF('Nation Wise Summary'!U45="", "", (C45/'Nation Wise Summary'!U45)*100)</f>
        <v/>
      </c>
      <c r="F45" s="6" t="str">
        <f>IF('Nation Non-Social Pop Demograph'!B45="", "", ('Nation-Wide Education Seg'!C45/'Nation Non-Social Pop Demograph'!B45)*10000)</f>
        <v/>
      </c>
      <c r="G45" s="6" t="str">
        <f>IF('Nation Non-Social Pop Demograph'!J45="", "", ('Nation-Wide Education Seg'!C45/'Nation Non-Social Pop Demograph'!J45)*10000)</f>
        <v/>
      </c>
      <c r="H45" s="6"/>
      <c r="I45" s="6"/>
      <c r="J45" s="6"/>
      <c r="K45" s="6" t="str">
        <f>IF('Nation Wise Summary'!U45="", "", 'Nation-Wide Education Seg'!H45/'Nation Wise Summary'!U45)</f>
        <v/>
      </c>
      <c r="L45" s="6" t="str">
        <f>IF('Nation Non-Social Pop Demograph'!B45="", "", ('Nation-Wide Education Seg'!H45/'Nation Non-Social Pop Demograph'!B45)*10000)</f>
        <v/>
      </c>
      <c r="M45" s="6" t="str">
        <f>IF('Nation Non-Social Pop Demograph'!N45="", "", ('Nation-Wide Education Seg'!H45/'Nation Non-Social Pop Demograph'!N45)*10000)</f>
        <v/>
      </c>
      <c r="N45" s="6"/>
      <c r="O45" s="6"/>
      <c r="P45" s="6"/>
      <c r="Q45" s="6"/>
    </row>
    <row r="46" spans="1:17" x14ac:dyDescent="0.3">
      <c r="A46" s="6" t="s">
        <v>473</v>
      </c>
      <c r="B46" s="6"/>
      <c r="C46" s="6"/>
      <c r="D46" s="6"/>
      <c r="E46" s="6" t="str">
        <f>IF('Nation Wise Summary'!U46="", "", (C46/'Nation Wise Summary'!U46)*100)</f>
        <v/>
      </c>
      <c r="F46" s="6" t="str">
        <f>IF('Nation Non-Social Pop Demograph'!B46="", "", ('Nation-Wide Education Seg'!C46/'Nation Non-Social Pop Demograph'!B46)*10000)</f>
        <v/>
      </c>
      <c r="G46" s="6" t="str">
        <f>IF('Nation Non-Social Pop Demograph'!J46="", "", ('Nation-Wide Education Seg'!C46/'Nation Non-Social Pop Demograph'!J46)*10000)</f>
        <v/>
      </c>
      <c r="H46" s="6"/>
      <c r="I46" s="6"/>
      <c r="J46" s="6"/>
      <c r="K46" s="6" t="str">
        <f>IF('Nation Wise Summary'!U46="", "", 'Nation-Wide Education Seg'!H46/'Nation Wise Summary'!U46)</f>
        <v/>
      </c>
      <c r="L46" s="6" t="str">
        <f>IF('Nation Non-Social Pop Demograph'!B46="", "", ('Nation-Wide Education Seg'!H46/'Nation Non-Social Pop Demograph'!B46)*10000)</f>
        <v/>
      </c>
      <c r="M46" s="6" t="str">
        <f>IF('Nation Non-Social Pop Demograph'!N46="", "", ('Nation-Wide Education Seg'!H46/'Nation Non-Social Pop Demograph'!N46)*10000)</f>
        <v/>
      </c>
      <c r="N46" s="6"/>
      <c r="O46" s="6"/>
      <c r="P46" s="6"/>
      <c r="Q46" s="6"/>
    </row>
    <row r="47" spans="1:17" x14ac:dyDescent="0.3">
      <c r="A47" s="6" t="s">
        <v>474</v>
      </c>
      <c r="B47" s="6"/>
      <c r="C47" s="6"/>
      <c r="D47" s="6"/>
      <c r="E47" s="6" t="str">
        <f>IF('Nation Wise Summary'!U47="", "", (C47/'Nation Wise Summary'!U47)*100)</f>
        <v/>
      </c>
      <c r="F47" s="6" t="str">
        <f>IF('Nation Non-Social Pop Demograph'!B47="", "", ('Nation-Wide Education Seg'!C47/'Nation Non-Social Pop Demograph'!B47)*10000)</f>
        <v/>
      </c>
      <c r="G47" s="6" t="str">
        <f>IF('Nation Non-Social Pop Demograph'!J47="", "", ('Nation-Wide Education Seg'!C47/'Nation Non-Social Pop Demograph'!J47)*10000)</f>
        <v/>
      </c>
      <c r="H47" s="6"/>
      <c r="I47" s="6"/>
      <c r="J47" s="6"/>
      <c r="K47" s="6" t="str">
        <f>IF('Nation Wise Summary'!U47="", "", 'Nation-Wide Education Seg'!H47/'Nation Wise Summary'!U47)</f>
        <v/>
      </c>
      <c r="L47" s="6" t="str">
        <f>IF('Nation Non-Social Pop Demograph'!B47="", "", ('Nation-Wide Education Seg'!H47/'Nation Non-Social Pop Demograph'!B47)*10000)</f>
        <v/>
      </c>
      <c r="M47" s="6" t="str">
        <f>IF('Nation Non-Social Pop Demograph'!N47="", "", ('Nation-Wide Education Seg'!H47/'Nation Non-Social Pop Demograph'!N47)*10000)</f>
        <v/>
      </c>
      <c r="N47" s="6"/>
      <c r="O47" s="6"/>
      <c r="P47" s="6"/>
      <c r="Q47" s="6"/>
    </row>
    <row r="48" spans="1:17" x14ac:dyDescent="0.3">
      <c r="A48" s="6" t="s">
        <v>77</v>
      </c>
      <c r="B48" s="6"/>
      <c r="C48" s="6"/>
      <c r="D48" s="6"/>
      <c r="E48" s="6" t="str">
        <f>IF('Nation Wise Summary'!U48="", "", (C48/'Nation Wise Summary'!U48)*100)</f>
        <v/>
      </c>
      <c r="F48" s="6" t="str">
        <f>IF('Nation Non-Social Pop Demograph'!B48="", "", ('Nation-Wide Education Seg'!C48/'Nation Non-Social Pop Demograph'!B48)*10000)</f>
        <v/>
      </c>
      <c r="G48" s="6" t="str">
        <f>IF('Nation Non-Social Pop Demograph'!J48="", "", ('Nation-Wide Education Seg'!C48/'Nation Non-Social Pop Demograph'!J48)*10000)</f>
        <v/>
      </c>
      <c r="H48" s="6"/>
      <c r="I48" s="6"/>
      <c r="J48" s="6"/>
      <c r="K48" s="6" t="str">
        <f>IF('Nation Wise Summary'!U48="", "", 'Nation-Wide Education Seg'!H48/'Nation Wise Summary'!U48)</f>
        <v/>
      </c>
      <c r="L48" s="6" t="str">
        <f>IF('Nation Non-Social Pop Demograph'!B48="", "", ('Nation-Wide Education Seg'!H48/'Nation Non-Social Pop Demograph'!B48)*10000)</f>
        <v/>
      </c>
      <c r="M48" s="6" t="str">
        <f>IF('Nation Non-Social Pop Demograph'!N48="", "", ('Nation-Wide Education Seg'!H48/'Nation Non-Social Pop Demograph'!N48)*10000)</f>
        <v/>
      </c>
      <c r="N48" s="6"/>
      <c r="O48" s="6"/>
      <c r="P48" s="6"/>
      <c r="Q48" s="6"/>
    </row>
    <row r="49" spans="1:17" x14ac:dyDescent="0.3">
      <c r="A49" s="6" t="s">
        <v>475</v>
      </c>
      <c r="B49" s="6"/>
      <c r="C49" s="6"/>
      <c r="D49" s="6"/>
      <c r="E49" s="6" t="str">
        <f>IF('Nation Wise Summary'!U49="", "", (C49/'Nation Wise Summary'!U49)*100)</f>
        <v/>
      </c>
      <c r="F49" s="6" t="str">
        <f>IF('Nation Non-Social Pop Demograph'!B49="", "", ('Nation-Wide Education Seg'!C49/'Nation Non-Social Pop Demograph'!B49)*10000)</f>
        <v/>
      </c>
      <c r="G49" s="6" t="str">
        <f>IF('Nation Non-Social Pop Demograph'!J49="", "", ('Nation-Wide Education Seg'!C49/'Nation Non-Social Pop Demograph'!J49)*10000)</f>
        <v/>
      </c>
      <c r="H49" s="6"/>
      <c r="I49" s="6"/>
      <c r="J49" s="6"/>
      <c r="K49" s="6" t="str">
        <f>IF('Nation Wise Summary'!U49="", "", 'Nation-Wide Education Seg'!H49/'Nation Wise Summary'!U49)</f>
        <v/>
      </c>
      <c r="L49" s="6" t="str">
        <f>IF('Nation Non-Social Pop Demograph'!B49="", "", ('Nation-Wide Education Seg'!H49/'Nation Non-Social Pop Demograph'!B49)*10000)</f>
        <v/>
      </c>
      <c r="M49" s="6" t="str">
        <f>IF('Nation Non-Social Pop Demograph'!N49="", "", ('Nation-Wide Education Seg'!H49/'Nation Non-Social Pop Demograph'!N49)*10000)</f>
        <v/>
      </c>
      <c r="N49" s="6"/>
      <c r="O49" s="6"/>
      <c r="P49" s="6"/>
      <c r="Q49" s="6"/>
    </row>
    <row r="50" spans="1:17" x14ac:dyDescent="0.3">
      <c r="A50" s="6" t="s">
        <v>476</v>
      </c>
      <c r="B50" s="6"/>
      <c r="C50" s="6"/>
      <c r="D50" s="6"/>
      <c r="E50" s="6" t="str">
        <f>IF('Nation Wise Summary'!U50="", "", (C50/'Nation Wise Summary'!U50)*100)</f>
        <v/>
      </c>
      <c r="F50" s="6" t="str">
        <f>IF('Nation Non-Social Pop Demograph'!B50="", "", ('Nation-Wide Education Seg'!C50/'Nation Non-Social Pop Demograph'!B50)*10000)</f>
        <v/>
      </c>
      <c r="G50" s="6" t="str">
        <f>IF('Nation Non-Social Pop Demograph'!J50="", "", ('Nation-Wide Education Seg'!C50/'Nation Non-Social Pop Demograph'!J50)*10000)</f>
        <v/>
      </c>
      <c r="H50" s="6"/>
      <c r="I50" s="6"/>
      <c r="J50" s="6"/>
      <c r="K50" s="6" t="str">
        <f>IF('Nation Wise Summary'!U50="", "", 'Nation-Wide Education Seg'!H50/'Nation Wise Summary'!U50)</f>
        <v/>
      </c>
      <c r="L50" s="6" t="str">
        <f>IF('Nation Non-Social Pop Demograph'!B50="", "", ('Nation-Wide Education Seg'!H50/'Nation Non-Social Pop Demograph'!B50)*10000)</f>
        <v/>
      </c>
      <c r="M50" s="6" t="str">
        <f>IF('Nation Non-Social Pop Demograph'!N50="", "", ('Nation-Wide Education Seg'!H50/'Nation Non-Social Pop Demograph'!N50)*10000)</f>
        <v/>
      </c>
      <c r="N50" s="6"/>
      <c r="O50" s="6"/>
      <c r="P50" s="6"/>
      <c r="Q50" s="6"/>
    </row>
    <row r="51" spans="1:17" x14ac:dyDescent="0.3">
      <c r="A51" s="6" t="s">
        <v>477</v>
      </c>
      <c r="B51" s="6"/>
      <c r="C51" s="6"/>
      <c r="D51" s="6"/>
      <c r="E51" s="6" t="str">
        <f>IF('Nation Wise Summary'!U51="", "", (C51/'Nation Wise Summary'!U51)*100)</f>
        <v/>
      </c>
      <c r="F51" s="6" t="str">
        <f>IF('Nation Non-Social Pop Demograph'!B51="", "", ('Nation-Wide Education Seg'!C51/'Nation Non-Social Pop Demograph'!B51)*10000)</f>
        <v/>
      </c>
      <c r="G51" s="6" t="str">
        <f>IF('Nation Non-Social Pop Demograph'!J51="", "", ('Nation-Wide Education Seg'!C51/'Nation Non-Social Pop Demograph'!J51)*10000)</f>
        <v/>
      </c>
      <c r="H51" s="6"/>
      <c r="I51" s="6"/>
      <c r="J51" s="6"/>
      <c r="K51" s="6" t="str">
        <f>IF('Nation Wise Summary'!U51="", "", 'Nation-Wide Education Seg'!H51/'Nation Wise Summary'!U51)</f>
        <v/>
      </c>
      <c r="L51" s="6" t="str">
        <f>IF('Nation Non-Social Pop Demograph'!B51="", "", ('Nation-Wide Education Seg'!H51/'Nation Non-Social Pop Demograph'!B51)*10000)</f>
        <v/>
      </c>
      <c r="M51" s="6" t="str">
        <f>IF('Nation Non-Social Pop Demograph'!N51="", "", ('Nation-Wide Education Seg'!H51/'Nation Non-Social Pop Demograph'!N51)*10000)</f>
        <v/>
      </c>
      <c r="N51" s="6"/>
      <c r="O51" s="6"/>
      <c r="P51" s="6"/>
      <c r="Q51" s="6"/>
    </row>
    <row r="52" spans="1:17" x14ac:dyDescent="0.3">
      <c r="A52" s="6" t="s">
        <v>478</v>
      </c>
      <c r="B52" s="6"/>
      <c r="C52" s="6"/>
      <c r="D52" s="6"/>
      <c r="E52" s="6" t="str">
        <f>IF('Nation Wise Summary'!U52="", "", (C52/'Nation Wise Summary'!U52)*100)</f>
        <v/>
      </c>
      <c r="F52" s="6" t="str">
        <f>IF('Nation Non-Social Pop Demograph'!B52="", "", ('Nation-Wide Education Seg'!C52/'Nation Non-Social Pop Demograph'!B52)*10000)</f>
        <v/>
      </c>
      <c r="G52" s="6" t="str">
        <f>IF('Nation Non-Social Pop Demograph'!J52="", "", ('Nation-Wide Education Seg'!C52/'Nation Non-Social Pop Demograph'!J52)*10000)</f>
        <v/>
      </c>
      <c r="H52" s="6"/>
      <c r="I52" s="6"/>
      <c r="J52" s="6"/>
      <c r="K52" s="6" t="str">
        <f>IF('Nation Wise Summary'!U52="", "", 'Nation-Wide Education Seg'!H52/'Nation Wise Summary'!U52)</f>
        <v/>
      </c>
      <c r="L52" s="6" t="str">
        <f>IF('Nation Non-Social Pop Demograph'!B52="", "", ('Nation-Wide Education Seg'!H52/'Nation Non-Social Pop Demograph'!B52)*10000)</f>
        <v/>
      </c>
      <c r="M52" s="6" t="str">
        <f>IF('Nation Non-Social Pop Demograph'!N52="", "", ('Nation-Wide Education Seg'!H52/'Nation Non-Social Pop Demograph'!N52)*10000)</f>
        <v/>
      </c>
      <c r="N52" s="6"/>
      <c r="O52" s="6"/>
      <c r="P52" s="6"/>
      <c r="Q52" s="6"/>
    </row>
    <row r="53" spans="1:17" x14ac:dyDescent="0.3">
      <c r="A53" s="6" t="s">
        <v>479</v>
      </c>
      <c r="B53" s="6"/>
      <c r="C53" s="6"/>
      <c r="D53" s="6"/>
      <c r="E53" s="6" t="str">
        <f>IF('Nation Wise Summary'!U53="", "", (C53/'Nation Wise Summary'!U53)*100)</f>
        <v/>
      </c>
      <c r="F53" s="6" t="str">
        <f>IF('Nation Non-Social Pop Demograph'!B53="", "", ('Nation-Wide Education Seg'!C53/'Nation Non-Social Pop Demograph'!B53)*10000)</f>
        <v/>
      </c>
      <c r="G53" s="6" t="str">
        <f>IF('Nation Non-Social Pop Demograph'!J53="", "", ('Nation-Wide Education Seg'!C53/'Nation Non-Social Pop Demograph'!J53)*10000)</f>
        <v/>
      </c>
      <c r="H53" s="6"/>
      <c r="I53" s="6"/>
      <c r="J53" s="6"/>
      <c r="K53" s="6" t="str">
        <f>IF('Nation Wise Summary'!U53="", "", 'Nation-Wide Education Seg'!H53/'Nation Wise Summary'!U53)</f>
        <v/>
      </c>
      <c r="L53" s="6" t="str">
        <f>IF('Nation Non-Social Pop Demograph'!B53="", "", ('Nation-Wide Education Seg'!H53/'Nation Non-Social Pop Demograph'!B53)*10000)</f>
        <v/>
      </c>
      <c r="M53" s="6" t="str">
        <f>IF('Nation Non-Social Pop Demograph'!N53="", "", ('Nation-Wide Education Seg'!H53/'Nation Non-Social Pop Demograph'!N53)*10000)</f>
        <v/>
      </c>
      <c r="N53" s="6"/>
      <c r="O53" s="6"/>
      <c r="P53" s="6"/>
      <c r="Q53" s="6"/>
    </row>
    <row r="54" spans="1:17" x14ac:dyDescent="0.3">
      <c r="A54" s="6" t="s">
        <v>480</v>
      </c>
      <c r="B54" s="6"/>
      <c r="C54" s="6"/>
      <c r="D54" s="6"/>
      <c r="E54" s="6" t="str">
        <f>IF('Nation Wise Summary'!U54="", "", (C54/'Nation Wise Summary'!U54)*100)</f>
        <v/>
      </c>
      <c r="F54" s="6" t="str">
        <f>IF('Nation Non-Social Pop Demograph'!B54="", "", ('Nation-Wide Education Seg'!C54/'Nation Non-Social Pop Demograph'!B54)*10000)</f>
        <v/>
      </c>
      <c r="G54" s="6" t="str">
        <f>IF('Nation Non-Social Pop Demograph'!J54="", "", ('Nation-Wide Education Seg'!C54/'Nation Non-Social Pop Demograph'!J54)*10000)</f>
        <v/>
      </c>
      <c r="H54" s="6"/>
      <c r="I54" s="6"/>
      <c r="J54" s="6"/>
      <c r="K54" s="6" t="str">
        <f>IF('Nation Wise Summary'!U54="", "", 'Nation-Wide Education Seg'!H54/'Nation Wise Summary'!U54)</f>
        <v/>
      </c>
      <c r="L54" s="6" t="str">
        <f>IF('Nation Non-Social Pop Demograph'!B54="", "", ('Nation-Wide Education Seg'!H54/'Nation Non-Social Pop Demograph'!B54)*10000)</f>
        <v/>
      </c>
      <c r="M54" s="6" t="str">
        <f>IF('Nation Non-Social Pop Demograph'!N54="", "", ('Nation-Wide Education Seg'!H54/'Nation Non-Social Pop Demograph'!N54)*10000)</f>
        <v/>
      </c>
      <c r="N54" s="6"/>
      <c r="O54" s="6"/>
      <c r="P54" s="6"/>
      <c r="Q54" s="6"/>
    </row>
    <row r="55" spans="1:17" x14ac:dyDescent="0.3">
      <c r="A55" s="6" t="s">
        <v>481</v>
      </c>
      <c r="B55" s="6"/>
      <c r="C55" s="6"/>
      <c r="D55" s="6"/>
      <c r="E55" s="6" t="str">
        <f>IF('Nation Wise Summary'!U55="", "", (C55/'Nation Wise Summary'!U55)*100)</f>
        <v/>
      </c>
      <c r="F55" s="6" t="str">
        <f>IF('Nation Non-Social Pop Demograph'!B55="", "", ('Nation-Wide Education Seg'!C55/'Nation Non-Social Pop Demograph'!B55)*10000)</f>
        <v/>
      </c>
      <c r="G55" s="6" t="str">
        <f>IF('Nation Non-Social Pop Demograph'!J55="", "", ('Nation-Wide Education Seg'!C55/'Nation Non-Social Pop Demograph'!J55)*10000)</f>
        <v/>
      </c>
      <c r="H55" s="6"/>
      <c r="I55" s="6"/>
      <c r="J55" s="6"/>
      <c r="K55" s="6" t="str">
        <f>IF('Nation Wise Summary'!U55="", "", 'Nation-Wide Education Seg'!H55/'Nation Wise Summary'!U55)</f>
        <v/>
      </c>
      <c r="L55" s="6" t="str">
        <f>IF('Nation Non-Social Pop Demograph'!B55="", "", ('Nation-Wide Education Seg'!H55/'Nation Non-Social Pop Demograph'!B55)*10000)</f>
        <v/>
      </c>
      <c r="M55" s="6" t="str">
        <f>IF('Nation Non-Social Pop Demograph'!N55="", "", ('Nation-Wide Education Seg'!H55/'Nation Non-Social Pop Demograph'!N55)*10000)</f>
        <v/>
      </c>
      <c r="N55" s="6"/>
      <c r="O55" s="6"/>
      <c r="P55" s="6"/>
      <c r="Q55" s="6"/>
    </row>
    <row r="56" spans="1:17" x14ac:dyDescent="0.3">
      <c r="A56" s="6" t="s">
        <v>21</v>
      </c>
      <c r="B56" s="6"/>
      <c r="C56" s="6"/>
      <c r="D56" s="6"/>
      <c r="E56" s="6" t="str">
        <f>IF('Nation Wise Summary'!U56="", "", (C56/'Nation Wise Summary'!U56)*100)</f>
        <v/>
      </c>
      <c r="F56" s="6" t="str">
        <f>IF('Nation Non-Social Pop Demograph'!B56="", "", ('Nation-Wide Education Seg'!C56/'Nation Non-Social Pop Demograph'!B56)*10000)</f>
        <v/>
      </c>
      <c r="G56" s="6" t="str">
        <f>IF('Nation Non-Social Pop Demograph'!J56="", "", ('Nation-Wide Education Seg'!C56/'Nation Non-Social Pop Demograph'!J56)*10000)</f>
        <v/>
      </c>
      <c r="H56" s="6"/>
      <c r="I56" s="6"/>
      <c r="J56" s="6"/>
      <c r="K56" s="6" t="str">
        <f>IF('Nation Wise Summary'!U56="", "", 'Nation-Wide Education Seg'!H56/'Nation Wise Summary'!U56)</f>
        <v/>
      </c>
      <c r="L56" s="6" t="str">
        <f>IF('Nation Non-Social Pop Demograph'!B56="", "", ('Nation-Wide Education Seg'!H56/'Nation Non-Social Pop Demograph'!B56)*10000)</f>
        <v/>
      </c>
      <c r="M56" s="6" t="str">
        <f>IF('Nation Non-Social Pop Demograph'!N56="", "", ('Nation-Wide Education Seg'!H56/'Nation Non-Social Pop Demograph'!N56)*10000)</f>
        <v/>
      </c>
      <c r="N56" s="6"/>
      <c r="O56" s="6"/>
      <c r="P56" s="6"/>
      <c r="Q56" s="6"/>
    </row>
    <row r="57" spans="1:17" x14ac:dyDescent="0.3">
      <c r="A57" s="6" t="s">
        <v>503</v>
      </c>
      <c r="B57" s="6"/>
      <c r="C57" s="6"/>
      <c r="D57" s="6"/>
      <c r="E57" s="6" t="str">
        <f>IF('Nation Wise Summary'!U57="", "", (C57/'Nation Wise Summary'!U57)*100)</f>
        <v/>
      </c>
      <c r="F57" s="6" t="str">
        <f>IF('Nation Non-Social Pop Demograph'!B57="", "", ('Nation-Wide Education Seg'!C57/'Nation Non-Social Pop Demograph'!B57)*10000)</f>
        <v/>
      </c>
      <c r="G57" s="6" t="str">
        <f>IF('Nation Non-Social Pop Demograph'!J57="", "", ('Nation-Wide Education Seg'!C57/'Nation Non-Social Pop Demograph'!J57)*10000)</f>
        <v/>
      </c>
      <c r="H57" s="6"/>
      <c r="I57" s="6"/>
      <c r="J57" s="6"/>
      <c r="K57" s="6" t="str">
        <f>IF('Nation Wise Summary'!U57="", "", 'Nation-Wide Education Seg'!H57/'Nation Wise Summary'!U57)</f>
        <v/>
      </c>
      <c r="L57" s="6" t="str">
        <f>IF('Nation Non-Social Pop Demograph'!B57="", "", ('Nation-Wide Education Seg'!H57/'Nation Non-Social Pop Demograph'!B57)*10000)</f>
        <v/>
      </c>
      <c r="M57" s="6" t="str">
        <f>IF('Nation Non-Social Pop Demograph'!N57="", "", ('Nation-Wide Education Seg'!H57/'Nation Non-Social Pop Demograph'!N57)*10000)</f>
        <v/>
      </c>
      <c r="N57" s="6"/>
      <c r="O57" s="6"/>
      <c r="P57" s="6"/>
      <c r="Q57" s="6"/>
    </row>
    <row r="58" spans="1:17" x14ac:dyDescent="0.3">
      <c r="A58" s="6" t="s">
        <v>504</v>
      </c>
      <c r="B58" s="6"/>
      <c r="C58" s="6"/>
      <c r="D58" s="6"/>
      <c r="E58" s="6" t="str">
        <f>IF('Nation Wise Summary'!U58="", "", (C58/'Nation Wise Summary'!U58)*100)</f>
        <v/>
      </c>
      <c r="F58" s="6" t="str">
        <f>IF('Nation Non-Social Pop Demograph'!B58="", "", ('Nation-Wide Education Seg'!C58/'Nation Non-Social Pop Demograph'!B58)*10000)</f>
        <v/>
      </c>
      <c r="G58" s="6" t="str">
        <f>IF('Nation Non-Social Pop Demograph'!J58="", "", ('Nation-Wide Education Seg'!C58/'Nation Non-Social Pop Demograph'!J58)*10000)</f>
        <v/>
      </c>
      <c r="H58" s="6"/>
      <c r="I58" s="6"/>
      <c r="J58" s="6"/>
      <c r="K58" s="6" t="str">
        <f>IF('Nation Wise Summary'!U58="", "", 'Nation-Wide Education Seg'!H58/'Nation Wise Summary'!U58)</f>
        <v/>
      </c>
      <c r="L58" s="6" t="str">
        <f>IF('Nation Non-Social Pop Demograph'!B58="", "", ('Nation-Wide Education Seg'!H58/'Nation Non-Social Pop Demograph'!B58)*10000)</f>
        <v/>
      </c>
      <c r="M58" s="6" t="str">
        <f>IF('Nation Non-Social Pop Demograph'!N58="", "", ('Nation-Wide Education Seg'!H58/'Nation Non-Social Pop Demograph'!N58)*10000)</f>
        <v/>
      </c>
      <c r="N58" s="6"/>
      <c r="O58" s="6"/>
      <c r="P58" s="6"/>
      <c r="Q58" s="6"/>
    </row>
    <row r="59" spans="1:17" x14ac:dyDescent="0.3">
      <c r="A59" s="6" t="s">
        <v>511</v>
      </c>
      <c r="B59" s="6"/>
      <c r="C59" s="6"/>
      <c r="D59" s="6"/>
      <c r="E59" s="6" t="str">
        <f>IF('Nation Wise Summary'!U59="", "", (C59/'Nation Wise Summary'!U59)*100)</f>
        <v/>
      </c>
      <c r="F59" s="6" t="str">
        <f>IF('Nation Non-Social Pop Demograph'!B59="", "", ('Nation-Wide Education Seg'!C59/'Nation Non-Social Pop Demograph'!B59)*10000)</f>
        <v/>
      </c>
      <c r="G59" s="6" t="str">
        <f>IF('Nation Non-Social Pop Demograph'!J59="", "", ('Nation-Wide Education Seg'!C59/'Nation Non-Social Pop Demograph'!J59)*10000)</f>
        <v/>
      </c>
      <c r="H59" s="6"/>
      <c r="I59" s="6"/>
      <c r="J59" s="6"/>
      <c r="K59" s="6" t="str">
        <f>IF('Nation Wise Summary'!U59="", "", 'Nation-Wide Education Seg'!H59/'Nation Wise Summary'!U59)</f>
        <v/>
      </c>
      <c r="L59" s="6" t="str">
        <f>IF('Nation Non-Social Pop Demograph'!B59="", "", ('Nation-Wide Education Seg'!H59/'Nation Non-Social Pop Demograph'!B59)*10000)</f>
        <v/>
      </c>
      <c r="M59" s="6" t="str">
        <f>IF('Nation Non-Social Pop Demograph'!N59="", "", ('Nation-Wide Education Seg'!H59/'Nation Non-Social Pop Demograph'!N59)*10000)</f>
        <v/>
      </c>
      <c r="N59" s="6"/>
      <c r="O59" s="6"/>
      <c r="P59" s="6"/>
      <c r="Q59" s="6"/>
    </row>
    <row r="60" spans="1:17" x14ac:dyDescent="0.3">
      <c r="A60" s="6" t="s">
        <v>512</v>
      </c>
      <c r="B60" s="6"/>
      <c r="C60" s="6"/>
      <c r="D60" s="6"/>
      <c r="E60" s="6" t="str">
        <f>IF('Nation Wise Summary'!U60="", "", (C60/'Nation Wise Summary'!U60)*100)</f>
        <v/>
      </c>
      <c r="F60" s="6" t="str">
        <f>IF('Nation Non-Social Pop Demograph'!B60="", "", ('Nation-Wide Education Seg'!C60/'Nation Non-Social Pop Demograph'!B60)*10000)</f>
        <v/>
      </c>
      <c r="G60" s="6" t="str">
        <f>IF('Nation Non-Social Pop Demograph'!J60="", "", ('Nation-Wide Education Seg'!C60/'Nation Non-Social Pop Demograph'!J60)*10000)</f>
        <v/>
      </c>
      <c r="H60" s="6"/>
      <c r="I60" s="6"/>
      <c r="J60" s="6"/>
      <c r="K60" s="6" t="str">
        <f>IF('Nation Wise Summary'!U60="", "", 'Nation-Wide Education Seg'!H60/'Nation Wise Summary'!U60)</f>
        <v/>
      </c>
      <c r="L60" s="6" t="str">
        <f>IF('Nation Non-Social Pop Demograph'!B60="", "", ('Nation-Wide Education Seg'!H60/'Nation Non-Social Pop Demograph'!B60)*10000)</f>
        <v/>
      </c>
      <c r="M60" s="6" t="str">
        <f>IF('Nation Non-Social Pop Demograph'!N60="", "", ('Nation-Wide Education Seg'!H60/'Nation Non-Social Pop Demograph'!N60)*10000)</f>
        <v/>
      </c>
      <c r="N60" s="6"/>
      <c r="O60" s="6"/>
      <c r="P60" s="6"/>
      <c r="Q60" s="6"/>
    </row>
    <row r="61" spans="1:17" x14ac:dyDescent="0.3">
      <c r="A61" s="6" t="s">
        <v>514</v>
      </c>
      <c r="B61" s="6"/>
      <c r="C61" s="6"/>
      <c r="D61" s="6"/>
      <c r="E61" s="6" t="str">
        <f>IF('Nation Wise Summary'!U61="", "", (C61/'Nation Wise Summary'!U61)*100)</f>
        <v/>
      </c>
      <c r="F61" s="6" t="str">
        <f>IF('Nation Non-Social Pop Demograph'!B61="", "", ('Nation-Wide Education Seg'!C61/'Nation Non-Social Pop Demograph'!B61)*10000)</f>
        <v/>
      </c>
      <c r="G61" s="6" t="str">
        <f>IF('Nation Non-Social Pop Demograph'!J61="", "", ('Nation-Wide Education Seg'!C61/'Nation Non-Social Pop Demograph'!J61)*10000)</f>
        <v/>
      </c>
      <c r="H61" s="6"/>
      <c r="I61" s="6"/>
      <c r="J61" s="6"/>
      <c r="K61" s="6" t="str">
        <f>IF('Nation Wise Summary'!U61="", "", 'Nation-Wide Education Seg'!H61/'Nation Wise Summary'!U61)</f>
        <v/>
      </c>
      <c r="L61" s="6" t="str">
        <f>IF('Nation Non-Social Pop Demograph'!B61="", "", ('Nation-Wide Education Seg'!H61/'Nation Non-Social Pop Demograph'!B61)*10000)</f>
        <v/>
      </c>
      <c r="M61" s="6" t="str">
        <f>IF('Nation Non-Social Pop Demograph'!N61="", "", ('Nation-Wide Education Seg'!H61/'Nation Non-Social Pop Demograph'!N61)*10000)</f>
        <v/>
      </c>
      <c r="N61" s="6"/>
      <c r="O61" s="6"/>
      <c r="P61" s="6"/>
      <c r="Q61" s="6"/>
    </row>
    <row r="62" spans="1:17" x14ac:dyDescent="0.3">
      <c r="A62" s="6" t="s">
        <v>515</v>
      </c>
      <c r="B62" s="6"/>
      <c r="C62" s="6"/>
      <c r="D62" s="6"/>
      <c r="E62" s="6" t="str">
        <f>IF('Nation Wise Summary'!U62="", "", (C62/'Nation Wise Summary'!U62)*100)</f>
        <v/>
      </c>
      <c r="F62" s="6" t="str">
        <f>IF('Nation Non-Social Pop Demograph'!B62="", "", ('Nation-Wide Education Seg'!C62/'Nation Non-Social Pop Demograph'!B62)*10000)</f>
        <v/>
      </c>
      <c r="G62" s="6" t="str">
        <f>IF('Nation Non-Social Pop Demograph'!J62="", "", ('Nation-Wide Education Seg'!C62/'Nation Non-Social Pop Demograph'!J62)*10000)</f>
        <v/>
      </c>
      <c r="H62" s="6"/>
      <c r="I62" s="6"/>
      <c r="J62" s="6"/>
      <c r="K62" s="6" t="str">
        <f>IF('Nation Wise Summary'!U62="", "", 'Nation-Wide Education Seg'!H62/'Nation Wise Summary'!U62)</f>
        <v/>
      </c>
      <c r="L62" s="6" t="str">
        <f>IF('Nation Non-Social Pop Demograph'!B62="", "", ('Nation-Wide Education Seg'!H62/'Nation Non-Social Pop Demograph'!B62)*10000)</f>
        <v/>
      </c>
      <c r="M62" s="6" t="str">
        <f>IF('Nation Non-Social Pop Demograph'!N62="", "", ('Nation-Wide Education Seg'!H62/'Nation Non-Social Pop Demograph'!N62)*10000)</f>
        <v/>
      </c>
      <c r="N62" s="6"/>
      <c r="O62" s="6"/>
      <c r="P62" s="6"/>
      <c r="Q62" s="6"/>
    </row>
    <row r="63" spans="1:17" x14ac:dyDescent="0.3">
      <c r="A63" s="6" t="s">
        <v>516</v>
      </c>
      <c r="B63" s="6"/>
      <c r="C63" s="6"/>
      <c r="D63" s="6"/>
      <c r="E63" s="6" t="str">
        <f>IF('Nation Wise Summary'!U63="", "", (C63/'Nation Wise Summary'!U63)*100)</f>
        <v/>
      </c>
      <c r="F63" s="6" t="str">
        <f>IF('Nation Non-Social Pop Demograph'!B63="", "", ('Nation-Wide Education Seg'!C63/'Nation Non-Social Pop Demograph'!B63)*10000)</f>
        <v/>
      </c>
      <c r="G63" s="6" t="str">
        <f>IF('Nation Non-Social Pop Demograph'!J63="", "", ('Nation-Wide Education Seg'!C63/'Nation Non-Social Pop Demograph'!J63)*10000)</f>
        <v/>
      </c>
      <c r="H63" s="6"/>
      <c r="I63" s="6"/>
      <c r="J63" s="6"/>
      <c r="K63" s="6" t="str">
        <f>IF('Nation Wise Summary'!U63="", "", 'Nation-Wide Education Seg'!H63/'Nation Wise Summary'!U63)</f>
        <v/>
      </c>
      <c r="L63" s="6" t="str">
        <f>IF('Nation Non-Social Pop Demograph'!B63="", "", ('Nation-Wide Education Seg'!H63/'Nation Non-Social Pop Demograph'!B63)*10000)</f>
        <v/>
      </c>
      <c r="M63" s="6" t="str">
        <f>IF('Nation Non-Social Pop Demograph'!N63="", "", ('Nation-Wide Education Seg'!H63/'Nation Non-Social Pop Demograph'!N63)*10000)</f>
        <v/>
      </c>
      <c r="N63" s="6"/>
      <c r="O63" s="6"/>
      <c r="P63" s="6"/>
      <c r="Q63" s="6"/>
    </row>
    <row r="64" spans="1:17" x14ac:dyDescent="0.3">
      <c r="A64" s="6" t="s">
        <v>517</v>
      </c>
      <c r="B64" s="6"/>
      <c r="C64" s="6"/>
      <c r="D64" s="6"/>
      <c r="E64" s="6" t="str">
        <f>IF('Nation Wise Summary'!U64="", "", (C64/'Nation Wise Summary'!U64)*100)</f>
        <v/>
      </c>
      <c r="F64" s="6" t="str">
        <f>IF('Nation Non-Social Pop Demograph'!B64="", "", ('Nation-Wide Education Seg'!C64/'Nation Non-Social Pop Demograph'!B64)*10000)</f>
        <v/>
      </c>
      <c r="G64" s="6" t="str">
        <f>IF('Nation Non-Social Pop Demograph'!J64="", "", ('Nation-Wide Education Seg'!C64/'Nation Non-Social Pop Demograph'!J64)*10000)</f>
        <v/>
      </c>
      <c r="H64" s="6"/>
      <c r="I64" s="6"/>
      <c r="J64" s="6"/>
      <c r="K64" s="6" t="str">
        <f>IF('Nation Wise Summary'!U64="", "", 'Nation-Wide Education Seg'!H64/'Nation Wise Summary'!U64)</f>
        <v/>
      </c>
      <c r="L64" s="6" t="str">
        <f>IF('Nation Non-Social Pop Demograph'!B64="", "", ('Nation-Wide Education Seg'!H64/'Nation Non-Social Pop Demograph'!B64)*10000)</f>
        <v/>
      </c>
      <c r="M64" s="6" t="str">
        <f>IF('Nation Non-Social Pop Demograph'!N64="", "", ('Nation-Wide Education Seg'!H64/'Nation Non-Social Pop Demograph'!N64)*10000)</f>
        <v/>
      </c>
      <c r="N64" s="6"/>
      <c r="O64" s="6"/>
      <c r="P64" s="6"/>
      <c r="Q64" s="6"/>
    </row>
    <row r="65" spans="1:17" x14ac:dyDescent="0.3">
      <c r="A65" s="6" t="s">
        <v>518</v>
      </c>
      <c r="B65" s="6"/>
      <c r="C65" s="6"/>
      <c r="D65" s="6"/>
      <c r="E65" s="6" t="str">
        <f>IF('Nation Wise Summary'!U65="", "", (C65/'Nation Wise Summary'!U65)*100)</f>
        <v/>
      </c>
      <c r="F65" s="6" t="str">
        <f>IF('Nation Non-Social Pop Demograph'!B65="", "", ('Nation-Wide Education Seg'!C65/'Nation Non-Social Pop Demograph'!B65)*10000)</f>
        <v/>
      </c>
      <c r="G65" s="6" t="str">
        <f>IF('Nation Non-Social Pop Demograph'!J65="", "", ('Nation-Wide Education Seg'!C65/'Nation Non-Social Pop Demograph'!J65)*10000)</f>
        <v/>
      </c>
      <c r="H65" s="6"/>
      <c r="I65" s="6"/>
      <c r="J65" s="6"/>
      <c r="K65" s="6" t="str">
        <f>IF('Nation Wise Summary'!U65="", "", 'Nation-Wide Education Seg'!H65/'Nation Wise Summary'!U65)</f>
        <v/>
      </c>
      <c r="L65" s="6" t="str">
        <f>IF('Nation Non-Social Pop Demograph'!B65="", "", ('Nation-Wide Education Seg'!H65/'Nation Non-Social Pop Demograph'!B65)*10000)</f>
        <v/>
      </c>
      <c r="M65" s="6" t="str">
        <f>IF('Nation Non-Social Pop Demograph'!N65="", "", ('Nation-Wide Education Seg'!H65/'Nation Non-Social Pop Demograph'!N65)*10000)</f>
        <v/>
      </c>
      <c r="N65" s="6"/>
      <c r="O65" s="6"/>
      <c r="P65" s="6"/>
      <c r="Q65" s="6"/>
    </row>
    <row r="66" spans="1:17" x14ac:dyDescent="0.3">
      <c r="A66" s="6" t="s">
        <v>519</v>
      </c>
      <c r="B66" s="6"/>
      <c r="C66" s="6"/>
      <c r="D66" s="6"/>
      <c r="E66" s="6" t="str">
        <f>IF('Nation Wise Summary'!U66="", "", (C66/'Nation Wise Summary'!U66)*100)</f>
        <v/>
      </c>
      <c r="F66" s="6" t="str">
        <f>IF('Nation Non-Social Pop Demograph'!B66="", "", ('Nation-Wide Education Seg'!C66/'Nation Non-Social Pop Demograph'!B66)*10000)</f>
        <v/>
      </c>
      <c r="G66" s="6" t="str">
        <f>IF('Nation Non-Social Pop Demograph'!J66="", "", ('Nation-Wide Education Seg'!C66/'Nation Non-Social Pop Demograph'!J66)*10000)</f>
        <v/>
      </c>
      <c r="H66" s="6"/>
      <c r="I66" s="6"/>
      <c r="J66" s="6"/>
      <c r="K66" s="6" t="str">
        <f>IF('Nation Wise Summary'!U66="", "", 'Nation-Wide Education Seg'!H66/'Nation Wise Summary'!U66)</f>
        <v/>
      </c>
      <c r="L66" s="6" t="str">
        <f>IF('Nation Non-Social Pop Demograph'!B66="", "", ('Nation-Wide Education Seg'!H66/'Nation Non-Social Pop Demograph'!B66)*10000)</f>
        <v/>
      </c>
      <c r="M66" s="6" t="str">
        <f>IF('Nation Non-Social Pop Demograph'!N66="", "", ('Nation-Wide Education Seg'!H66/'Nation Non-Social Pop Demograph'!N66)*10000)</f>
        <v/>
      </c>
      <c r="N66" s="6"/>
      <c r="O66" s="6"/>
      <c r="P66" s="6"/>
      <c r="Q66" s="6"/>
    </row>
    <row r="67" spans="1:17" x14ac:dyDescent="0.3">
      <c r="A67" s="6" t="s">
        <v>524</v>
      </c>
      <c r="B67" s="6"/>
      <c r="C67" s="6"/>
      <c r="D67" s="6"/>
      <c r="E67" s="6" t="str">
        <f>IF('Nation Wise Summary'!U67="", "", (C67/'Nation Wise Summary'!U67)*100)</f>
        <v/>
      </c>
      <c r="F67" s="6" t="str">
        <f>IF('Nation Non-Social Pop Demograph'!B67="", "", ('Nation-Wide Education Seg'!C67/'Nation Non-Social Pop Demograph'!B67)*10000)</f>
        <v/>
      </c>
      <c r="G67" s="6" t="str">
        <f>IF('Nation Non-Social Pop Demograph'!J67="", "", ('Nation-Wide Education Seg'!C67/'Nation Non-Social Pop Demograph'!J67)*10000)</f>
        <v/>
      </c>
      <c r="H67" s="6"/>
      <c r="I67" s="6"/>
      <c r="J67" s="6"/>
      <c r="K67" s="6" t="str">
        <f>IF('Nation Wise Summary'!U67="", "", 'Nation-Wide Education Seg'!H67/'Nation Wise Summary'!U67)</f>
        <v/>
      </c>
      <c r="L67" s="6" t="str">
        <f>IF('Nation Non-Social Pop Demograph'!B67="", "", ('Nation-Wide Education Seg'!H67/'Nation Non-Social Pop Demograph'!B67)*10000)</f>
        <v/>
      </c>
      <c r="M67" s="6" t="str">
        <f>IF('Nation Non-Social Pop Demograph'!N67="", "", ('Nation-Wide Education Seg'!H67/'Nation Non-Social Pop Demograph'!N67)*10000)</f>
        <v/>
      </c>
      <c r="N67" s="6"/>
      <c r="O67" s="6"/>
      <c r="P67" s="6"/>
      <c r="Q67" s="6"/>
    </row>
    <row r="68" spans="1:17" x14ac:dyDescent="0.3">
      <c r="A68" s="6" t="s">
        <v>525</v>
      </c>
      <c r="B68" s="6"/>
      <c r="C68" s="6"/>
      <c r="D68" s="6"/>
      <c r="E68" s="6" t="str">
        <f>IF('Nation Wise Summary'!U68="", "", (C68/'Nation Wise Summary'!U68)*100)</f>
        <v/>
      </c>
      <c r="F68" s="6" t="str">
        <f>IF('Nation Non-Social Pop Demograph'!B68="", "", ('Nation-Wide Education Seg'!C68/'Nation Non-Social Pop Demograph'!B68)*10000)</f>
        <v/>
      </c>
      <c r="G68" s="6" t="str">
        <f>IF('Nation Non-Social Pop Demograph'!J68="", "", ('Nation-Wide Education Seg'!C68/'Nation Non-Social Pop Demograph'!J68)*10000)</f>
        <v/>
      </c>
      <c r="H68" s="6"/>
      <c r="I68" s="6"/>
      <c r="J68" s="6"/>
      <c r="K68" s="6" t="str">
        <f>IF('Nation Wise Summary'!U68="", "", 'Nation-Wide Education Seg'!H68/'Nation Wise Summary'!U68)</f>
        <v/>
      </c>
      <c r="L68" s="6" t="str">
        <f>IF('Nation Non-Social Pop Demograph'!B68="", "", ('Nation-Wide Education Seg'!H68/'Nation Non-Social Pop Demograph'!B68)*10000)</f>
        <v/>
      </c>
      <c r="M68" s="6" t="str">
        <f>IF('Nation Non-Social Pop Demograph'!N68="", "", ('Nation-Wide Education Seg'!H68/'Nation Non-Social Pop Demograph'!N68)*10000)</f>
        <v/>
      </c>
      <c r="N68" s="6"/>
      <c r="O68" s="6"/>
      <c r="P68" s="6"/>
      <c r="Q68" s="6"/>
    </row>
    <row r="69" spans="1:17" x14ac:dyDescent="0.3">
      <c r="A69" s="6" t="s">
        <v>526</v>
      </c>
      <c r="B69" s="6"/>
      <c r="C69" s="6"/>
      <c r="D69" s="6"/>
      <c r="E69" s="6" t="str">
        <f>IF('Nation Wise Summary'!U69="", "", (C69/'Nation Wise Summary'!U69)*100)</f>
        <v/>
      </c>
      <c r="F69" s="6" t="str">
        <f>IF('Nation Non-Social Pop Demograph'!B69="", "", ('Nation-Wide Education Seg'!C69/'Nation Non-Social Pop Demograph'!B69)*10000)</f>
        <v/>
      </c>
      <c r="G69" s="6" t="str">
        <f>IF('Nation Non-Social Pop Demograph'!J69="", "", ('Nation-Wide Education Seg'!C69/'Nation Non-Social Pop Demograph'!J69)*10000)</f>
        <v/>
      </c>
      <c r="H69" s="6"/>
      <c r="I69" s="6"/>
      <c r="J69" s="6"/>
      <c r="K69" s="6" t="str">
        <f>IF('Nation Wise Summary'!U69="", "", 'Nation-Wide Education Seg'!H69/'Nation Wise Summary'!U69)</f>
        <v/>
      </c>
      <c r="L69" s="6" t="str">
        <f>IF('Nation Non-Social Pop Demograph'!B69="", "", ('Nation-Wide Education Seg'!H69/'Nation Non-Social Pop Demograph'!B69)*10000)</f>
        <v/>
      </c>
      <c r="M69" s="6" t="str">
        <f>IF('Nation Non-Social Pop Demograph'!N69="", "", ('Nation-Wide Education Seg'!H69/'Nation Non-Social Pop Demograph'!N69)*10000)</f>
        <v/>
      </c>
      <c r="N69" s="6"/>
      <c r="O69" s="6"/>
      <c r="P69" s="6"/>
      <c r="Q69" s="6"/>
    </row>
    <row r="70" spans="1:17" x14ac:dyDescent="0.3">
      <c r="A70" s="6" t="s">
        <v>527</v>
      </c>
      <c r="B70" s="6"/>
      <c r="C70" s="6"/>
      <c r="D70" s="6"/>
      <c r="E70" s="6" t="str">
        <f>IF('Nation Wise Summary'!U70="", "", (C70/'Nation Wise Summary'!U70)*100)</f>
        <v/>
      </c>
      <c r="F70" s="6" t="str">
        <f>IF('Nation Non-Social Pop Demograph'!B70="", "", ('Nation-Wide Education Seg'!C70/'Nation Non-Social Pop Demograph'!B70)*10000)</f>
        <v/>
      </c>
      <c r="G70" s="6" t="str">
        <f>IF('Nation Non-Social Pop Demograph'!J70="", "", ('Nation-Wide Education Seg'!C70/'Nation Non-Social Pop Demograph'!J70)*10000)</f>
        <v/>
      </c>
      <c r="H70" s="6"/>
      <c r="I70" s="6"/>
      <c r="J70" s="6"/>
      <c r="K70" s="6" t="str">
        <f>IF('Nation Wise Summary'!U70="", "", 'Nation-Wide Education Seg'!H70/'Nation Wise Summary'!U70)</f>
        <v/>
      </c>
      <c r="L70" s="6" t="str">
        <f>IF('Nation Non-Social Pop Demograph'!B70="", "", ('Nation-Wide Education Seg'!H70/'Nation Non-Social Pop Demograph'!B70)*10000)</f>
        <v/>
      </c>
      <c r="M70" s="6" t="str">
        <f>IF('Nation Non-Social Pop Demograph'!N70="", "", ('Nation-Wide Education Seg'!H70/'Nation Non-Social Pop Demograph'!N70)*10000)</f>
        <v/>
      </c>
      <c r="N70" s="6"/>
      <c r="O70" s="6"/>
      <c r="P70" s="6"/>
      <c r="Q70" s="6"/>
    </row>
    <row r="71" spans="1:17" x14ac:dyDescent="0.3">
      <c r="A71" s="6" t="s">
        <v>29</v>
      </c>
      <c r="B71" s="6"/>
      <c r="C71" s="6"/>
      <c r="D71" s="6"/>
      <c r="E71" s="6" t="str">
        <f>IF('Nation Wise Summary'!U71="", "", (C71/'Nation Wise Summary'!U71)*100)</f>
        <v/>
      </c>
      <c r="F71" s="6" t="str">
        <f>IF('Nation Non-Social Pop Demograph'!B71="", "", ('Nation-Wide Education Seg'!C71/'Nation Non-Social Pop Demograph'!B71)*10000)</f>
        <v/>
      </c>
      <c r="G71" s="6" t="str">
        <f>IF('Nation Non-Social Pop Demograph'!J71="", "", ('Nation-Wide Education Seg'!C71/'Nation Non-Social Pop Demograph'!J71)*10000)</f>
        <v/>
      </c>
      <c r="H71" s="6"/>
      <c r="I71" s="6"/>
      <c r="J71" s="6"/>
      <c r="K71" s="6" t="str">
        <f>IF('Nation Wise Summary'!U71="", "", 'Nation-Wide Education Seg'!H71/'Nation Wise Summary'!U71)</f>
        <v/>
      </c>
      <c r="L71" s="6" t="str">
        <f>IF('Nation Non-Social Pop Demograph'!B71="", "", ('Nation-Wide Education Seg'!H71/'Nation Non-Social Pop Demograph'!B71)*10000)</f>
        <v/>
      </c>
      <c r="M71" s="6" t="str">
        <f>IF('Nation Non-Social Pop Demograph'!N71="", "", ('Nation-Wide Education Seg'!H71/'Nation Non-Social Pop Demograph'!N71)*10000)</f>
        <v/>
      </c>
      <c r="N71" s="6"/>
      <c r="O71" s="6"/>
      <c r="P71" s="6"/>
      <c r="Q71" s="6"/>
    </row>
    <row r="72" spans="1:17" x14ac:dyDescent="0.3">
      <c r="A72" s="6" t="s">
        <v>528</v>
      </c>
      <c r="B72" s="6"/>
      <c r="C72" s="6"/>
      <c r="D72" s="6"/>
      <c r="E72" s="6" t="str">
        <f>IF('Nation Wise Summary'!U72="", "", (C72/'Nation Wise Summary'!U72)*100)</f>
        <v/>
      </c>
      <c r="F72" s="6" t="str">
        <f>IF('Nation Non-Social Pop Demograph'!B72="", "", ('Nation-Wide Education Seg'!C72/'Nation Non-Social Pop Demograph'!B72)*10000)</f>
        <v/>
      </c>
      <c r="G72" s="6" t="str">
        <f>IF('Nation Non-Social Pop Demograph'!J72="", "", ('Nation-Wide Education Seg'!C72/'Nation Non-Social Pop Demograph'!J72)*10000)</f>
        <v/>
      </c>
      <c r="H72" s="6"/>
      <c r="I72" s="6"/>
      <c r="J72" s="6"/>
      <c r="K72" s="6" t="str">
        <f>IF('Nation Wise Summary'!U72="", "", 'Nation-Wide Education Seg'!H72/'Nation Wise Summary'!U72)</f>
        <v/>
      </c>
      <c r="L72" s="6" t="str">
        <f>IF('Nation Non-Social Pop Demograph'!B72="", "", ('Nation-Wide Education Seg'!H72/'Nation Non-Social Pop Demograph'!B72)*10000)</f>
        <v/>
      </c>
      <c r="M72" s="6" t="str">
        <f>IF('Nation Non-Social Pop Demograph'!N72="", "", ('Nation-Wide Education Seg'!H72/'Nation Non-Social Pop Demograph'!N72)*10000)</f>
        <v/>
      </c>
      <c r="N72" s="6"/>
      <c r="O72" s="6"/>
      <c r="P72" s="6"/>
      <c r="Q72" s="6"/>
    </row>
    <row r="73" spans="1:17" x14ac:dyDescent="0.3">
      <c r="A73" s="6" t="s">
        <v>529</v>
      </c>
      <c r="B73" s="6"/>
      <c r="C73" s="6"/>
      <c r="D73" s="6"/>
      <c r="E73" s="6" t="str">
        <f>IF('Nation Wise Summary'!U73="", "", (C73/'Nation Wise Summary'!U73)*100)</f>
        <v/>
      </c>
      <c r="F73" s="6" t="str">
        <f>IF('Nation Non-Social Pop Demograph'!B73="", "", ('Nation-Wide Education Seg'!C73/'Nation Non-Social Pop Demograph'!B73)*10000)</f>
        <v/>
      </c>
      <c r="G73" s="6" t="str">
        <f>IF('Nation Non-Social Pop Demograph'!J73="", "", ('Nation-Wide Education Seg'!C73/'Nation Non-Social Pop Demograph'!J73)*10000)</f>
        <v/>
      </c>
      <c r="H73" s="6"/>
      <c r="I73" s="6"/>
      <c r="J73" s="6"/>
      <c r="K73" s="6" t="str">
        <f>IF('Nation Wise Summary'!U73="", "", 'Nation-Wide Education Seg'!H73/'Nation Wise Summary'!U73)</f>
        <v/>
      </c>
      <c r="L73" s="6" t="str">
        <f>IF('Nation Non-Social Pop Demograph'!B73="", "", ('Nation-Wide Education Seg'!H73/'Nation Non-Social Pop Demograph'!B73)*10000)</f>
        <v/>
      </c>
      <c r="M73" s="6" t="str">
        <f>IF('Nation Non-Social Pop Demograph'!N73="", "", ('Nation-Wide Education Seg'!H73/'Nation Non-Social Pop Demograph'!N73)*10000)</f>
        <v/>
      </c>
      <c r="N73" s="6"/>
      <c r="O73" s="6"/>
      <c r="P73" s="6"/>
      <c r="Q73" s="6"/>
    </row>
    <row r="74" spans="1:17" x14ac:dyDescent="0.3">
      <c r="A74" s="6" t="s">
        <v>530</v>
      </c>
      <c r="B74" s="6"/>
      <c r="C74" s="6"/>
      <c r="D74" s="6"/>
      <c r="E74" s="6" t="str">
        <f>IF('Nation Wise Summary'!U74="", "", (C74/'Nation Wise Summary'!U74)*100)</f>
        <v/>
      </c>
      <c r="F74" s="6" t="str">
        <f>IF('Nation Non-Social Pop Demograph'!B74="", "", ('Nation-Wide Education Seg'!C74/'Nation Non-Social Pop Demograph'!B74)*10000)</f>
        <v/>
      </c>
      <c r="G74" s="6" t="str">
        <f>IF('Nation Non-Social Pop Demograph'!J74="", "", ('Nation-Wide Education Seg'!C74/'Nation Non-Social Pop Demograph'!J74)*10000)</f>
        <v/>
      </c>
      <c r="H74" s="6"/>
      <c r="I74" s="6"/>
      <c r="J74" s="6"/>
      <c r="K74" s="6" t="str">
        <f>IF('Nation Wise Summary'!U74="", "", 'Nation-Wide Education Seg'!H74/'Nation Wise Summary'!U74)</f>
        <v/>
      </c>
      <c r="L74" s="6" t="str">
        <f>IF('Nation Non-Social Pop Demograph'!B74="", "", ('Nation-Wide Education Seg'!H74/'Nation Non-Social Pop Demograph'!B74)*10000)</f>
        <v/>
      </c>
      <c r="M74" s="6" t="str">
        <f>IF('Nation Non-Social Pop Demograph'!N74="", "", ('Nation-Wide Education Seg'!H74/'Nation Non-Social Pop Demograph'!N74)*10000)</f>
        <v/>
      </c>
      <c r="N74" s="6"/>
      <c r="O74" s="6"/>
      <c r="P74" s="6"/>
      <c r="Q74" s="6"/>
    </row>
    <row r="75" spans="1:17" x14ac:dyDescent="0.3">
      <c r="A75" s="6" t="s">
        <v>531</v>
      </c>
      <c r="B75" s="6"/>
      <c r="C75" s="6"/>
      <c r="D75" s="6"/>
      <c r="E75" s="6" t="str">
        <f>IF('Nation Wise Summary'!U75="", "", (C75/'Nation Wise Summary'!U75)*100)</f>
        <v/>
      </c>
      <c r="F75" s="6" t="str">
        <f>IF('Nation Non-Social Pop Demograph'!B75="", "", ('Nation-Wide Education Seg'!C75/'Nation Non-Social Pop Demograph'!B75)*10000)</f>
        <v/>
      </c>
      <c r="G75" s="6" t="str">
        <f>IF('Nation Non-Social Pop Demograph'!J75="", "", ('Nation-Wide Education Seg'!C75/'Nation Non-Social Pop Demograph'!J75)*10000)</f>
        <v/>
      </c>
      <c r="H75" s="6"/>
      <c r="I75" s="6"/>
      <c r="J75" s="6"/>
      <c r="K75" s="6" t="str">
        <f>IF('Nation Wise Summary'!U75="", "", 'Nation-Wide Education Seg'!H75/'Nation Wise Summary'!U75)</f>
        <v/>
      </c>
      <c r="L75" s="6" t="str">
        <f>IF('Nation Non-Social Pop Demograph'!B75="", "", ('Nation-Wide Education Seg'!H75/'Nation Non-Social Pop Demograph'!B75)*10000)</f>
        <v/>
      </c>
      <c r="M75" s="6" t="str">
        <f>IF('Nation Non-Social Pop Demograph'!N75="", "", ('Nation-Wide Education Seg'!H75/'Nation Non-Social Pop Demograph'!N75)*10000)</f>
        <v/>
      </c>
      <c r="N75" s="6"/>
      <c r="O75" s="6"/>
      <c r="P75" s="6"/>
      <c r="Q75" s="6"/>
    </row>
    <row r="76" spans="1:17" x14ac:dyDescent="0.3">
      <c r="A76" s="6" t="s">
        <v>532</v>
      </c>
      <c r="B76" s="6"/>
      <c r="C76" s="6"/>
      <c r="D76" s="6"/>
      <c r="E76" s="6" t="str">
        <f>IF('Nation Wise Summary'!U76="", "", (C76/'Nation Wise Summary'!U76)*100)</f>
        <v/>
      </c>
      <c r="F76" s="6" t="str">
        <f>IF('Nation Non-Social Pop Demograph'!B76="", "", ('Nation-Wide Education Seg'!C76/'Nation Non-Social Pop Demograph'!B76)*10000)</f>
        <v/>
      </c>
      <c r="G76" s="6" t="str">
        <f>IF('Nation Non-Social Pop Demograph'!J76="", "", ('Nation-Wide Education Seg'!C76/'Nation Non-Social Pop Demograph'!J76)*10000)</f>
        <v/>
      </c>
      <c r="H76" s="6"/>
      <c r="I76" s="6"/>
      <c r="J76" s="6"/>
      <c r="K76" s="6" t="str">
        <f>IF('Nation Wise Summary'!U76="", "", 'Nation-Wide Education Seg'!H76/'Nation Wise Summary'!U76)</f>
        <v/>
      </c>
      <c r="L76" s="6" t="str">
        <f>IF('Nation Non-Social Pop Demograph'!B76="", "", ('Nation-Wide Education Seg'!H76/'Nation Non-Social Pop Demograph'!B76)*10000)</f>
        <v/>
      </c>
      <c r="M76" s="6" t="str">
        <f>IF('Nation Non-Social Pop Demograph'!N76="", "", ('Nation-Wide Education Seg'!H76/'Nation Non-Social Pop Demograph'!N76)*10000)</f>
        <v/>
      </c>
      <c r="N76" s="6"/>
      <c r="O76" s="6"/>
      <c r="P76" s="6"/>
      <c r="Q76" s="6"/>
    </row>
    <row r="77" spans="1:17" x14ac:dyDescent="0.3">
      <c r="A77" s="6" t="s">
        <v>533</v>
      </c>
      <c r="B77" s="6"/>
      <c r="C77" s="6"/>
      <c r="D77" s="6"/>
      <c r="E77" s="6" t="str">
        <f>IF('Nation Wise Summary'!U77="", "", (C77/'Nation Wise Summary'!U77)*100)</f>
        <v/>
      </c>
      <c r="F77" s="6" t="str">
        <f>IF('Nation Non-Social Pop Demograph'!B77="", "", ('Nation-Wide Education Seg'!C77/'Nation Non-Social Pop Demograph'!B77)*10000)</f>
        <v/>
      </c>
      <c r="G77" s="6" t="str">
        <f>IF('Nation Non-Social Pop Demograph'!J77="", "", ('Nation-Wide Education Seg'!C77/'Nation Non-Social Pop Demograph'!J77)*10000)</f>
        <v/>
      </c>
      <c r="H77" s="6"/>
      <c r="I77" s="6"/>
      <c r="J77" s="6"/>
      <c r="K77" s="6" t="str">
        <f>IF('Nation Wise Summary'!U77="", "", 'Nation-Wide Education Seg'!H77/'Nation Wise Summary'!U77)</f>
        <v/>
      </c>
      <c r="L77" s="6" t="str">
        <f>IF('Nation Non-Social Pop Demograph'!B77="", "", ('Nation-Wide Education Seg'!H77/'Nation Non-Social Pop Demograph'!B77)*10000)</f>
        <v/>
      </c>
      <c r="M77" s="6" t="str">
        <f>IF('Nation Non-Social Pop Demograph'!N77="", "", ('Nation-Wide Education Seg'!H77/'Nation Non-Social Pop Demograph'!N77)*10000)</f>
        <v/>
      </c>
      <c r="N77" s="6"/>
      <c r="O77" s="6"/>
      <c r="P77" s="6"/>
      <c r="Q77" s="6"/>
    </row>
    <row r="78" spans="1:17" x14ac:dyDescent="0.3">
      <c r="A78" s="6" t="s">
        <v>534</v>
      </c>
      <c r="B78" s="6"/>
      <c r="C78" s="6"/>
      <c r="D78" s="6"/>
      <c r="E78" s="6" t="str">
        <f>IF('Nation Wise Summary'!U78="", "", (C78/'Nation Wise Summary'!U78)*100)</f>
        <v/>
      </c>
      <c r="F78" s="6" t="str">
        <f>IF('Nation Non-Social Pop Demograph'!B78="", "", ('Nation-Wide Education Seg'!C78/'Nation Non-Social Pop Demograph'!B78)*10000)</f>
        <v/>
      </c>
      <c r="G78" s="6" t="str">
        <f>IF('Nation Non-Social Pop Demograph'!J78="", "", ('Nation-Wide Education Seg'!C78/'Nation Non-Social Pop Demograph'!J78)*10000)</f>
        <v/>
      </c>
      <c r="H78" s="6"/>
      <c r="I78" s="6"/>
      <c r="J78" s="6"/>
      <c r="K78" s="6" t="str">
        <f>IF('Nation Wise Summary'!U78="", "", 'Nation-Wide Education Seg'!H78/'Nation Wise Summary'!U78)</f>
        <v/>
      </c>
      <c r="L78" s="6" t="str">
        <f>IF('Nation Non-Social Pop Demograph'!B78="", "", ('Nation-Wide Education Seg'!H78/'Nation Non-Social Pop Demograph'!B78)*10000)</f>
        <v/>
      </c>
      <c r="M78" s="6" t="str">
        <f>IF('Nation Non-Social Pop Demograph'!N78="", "", ('Nation-Wide Education Seg'!H78/'Nation Non-Social Pop Demograph'!N78)*10000)</f>
        <v/>
      </c>
      <c r="N78" s="6"/>
      <c r="O78" s="6"/>
      <c r="P78" s="6"/>
      <c r="Q78" s="6"/>
    </row>
    <row r="79" spans="1:17" x14ac:dyDescent="0.3">
      <c r="A79" s="6" t="s">
        <v>535</v>
      </c>
      <c r="B79" s="6"/>
      <c r="C79" s="6"/>
      <c r="D79" s="6"/>
      <c r="E79" s="6" t="str">
        <f>IF('Nation Wise Summary'!U79="", "", (C79/'Nation Wise Summary'!U79)*100)</f>
        <v/>
      </c>
      <c r="F79" s="6" t="str">
        <f>IF('Nation Non-Social Pop Demograph'!B79="", "", ('Nation-Wide Education Seg'!C79/'Nation Non-Social Pop Demograph'!B79)*10000)</f>
        <v/>
      </c>
      <c r="G79" s="6" t="str">
        <f>IF('Nation Non-Social Pop Demograph'!J79="", "", ('Nation-Wide Education Seg'!C79/'Nation Non-Social Pop Demograph'!J79)*10000)</f>
        <v/>
      </c>
      <c r="H79" s="6"/>
      <c r="I79" s="6"/>
      <c r="J79" s="6"/>
      <c r="K79" s="6" t="str">
        <f>IF('Nation Wise Summary'!U79="", "", 'Nation-Wide Education Seg'!H79/'Nation Wise Summary'!U79)</f>
        <v/>
      </c>
      <c r="L79" s="6" t="str">
        <f>IF('Nation Non-Social Pop Demograph'!B79="", "", ('Nation-Wide Education Seg'!H79/'Nation Non-Social Pop Demograph'!B79)*10000)</f>
        <v/>
      </c>
      <c r="M79" s="6" t="str">
        <f>IF('Nation Non-Social Pop Demograph'!N79="", "", ('Nation-Wide Education Seg'!H79/'Nation Non-Social Pop Demograph'!N79)*10000)</f>
        <v/>
      </c>
      <c r="N79" s="6"/>
      <c r="O79" s="6"/>
      <c r="P79" s="6"/>
      <c r="Q79" s="6"/>
    </row>
    <row r="80" spans="1:17" x14ac:dyDescent="0.3">
      <c r="A80" s="6" t="s">
        <v>536</v>
      </c>
      <c r="B80" s="6"/>
      <c r="C80" s="6"/>
      <c r="D80" s="6"/>
      <c r="E80" s="6" t="str">
        <f>IF('Nation Wise Summary'!U80="", "", (C80/'Nation Wise Summary'!U80)*100)</f>
        <v/>
      </c>
      <c r="F80" s="6" t="str">
        <f>IF('Nation Non-Social Pop Demograph'!B80="", "", ('Nation-Wide Education Seg'!C80/'Nation Non-Social Pop Demograph'!B80)*10000)</f>
        <v/>
      </c>
      <c r="G80" s="6" t="str">
        <f>IF('Nation Non-Social Pop Demograph'!J80="", "", ('Nation-Wide Education Seg'!C80/'Nation Non-Social Pop Demograph'!J80)*10000)</f>
        <v/>
      </c>
      <c r="H80" s="6"/>
      <c r="I80" s="6"/>
      <c r="J80" s="6"/>
      <c r="K80" s="6" t="str">
        <f>IF('Nation Wise Summary'!U80="", "", 'Nation-Wide Education Seg'!H80/'Nation Wise Summary'!U80)</f>
        <v/>
      </c>
      <c r="L80" s="6" t="str">
        <f>IF('Nation Non-Social Pop Demograph'!B80="", "", ('Nation-Wide Education Seg'!H80/'Nation Non-Social Pop Demograph'!B80)*10000)</f>
        <v/>
      </c>
      <c r="M80" s="6" t="str">
        <f>IF('Nation Non-Social Pop Demograph'!N80="", "", ('Nation-Wide Education Seg'!H80/'Nation Non-Social Pop Demograph'!N80)*10000)</f>
        <v/>
      </c>
      <c r="N80" s="6"/>
      <c r="O80" s="6"/>
      <c r="P80" s="6"/>
      <c r="Q80" s="6"/>
    </row>
    <row r="81" spans="1:17" x14ac:dyDescent="0.3">
      <c r="A81" s="6" t="s">
        <v>537</v>
      </c>
      <c r="B81" s="6"/>
      <c r="C81" s="6"/>
      <c r="D81" s="6"/>
      <c r="E81" s="6" t="str">
        <f>IF('Nation Wise Summary'!U81="", "", (C81/'Nation Wise Summary'!U81)*100)</f>
        <v/>
      </c>
      <c r="F81" s="6" t="str">
        <f>IF('Nation Non-Social Pop Demograph'!B81="", "", ('Nation-Wide Education Seg'!C81/'Nation Non-Social Pop Demograph'!B81)*10000)</f>
        <v/>
      </c>
      <c r="G81" s="6" t="str">
        <f>IF('Nation Non-Social Pop Demograph'!J81="", "", ('Nation-Wide Education Seg'!C81/'Nation Non-Social Pop Demograph'!J81)*10000)</f>
        <v/>
      </c>
      <c r="H81" s="6"/>
      <c r="I81" s="6"/>
      <c r="J81" s="6"/>
      <c r="K81" s="6" t="str">
        <f>IF('Nation Wise Summary'!U81="", "", 'Nation-Wide Education Seg'!H81/'Nation Wise Summary'!U81)</f>
        <v/>
      </c>
      <c r="L81" s="6" t="str">
        <f>IF('Nation Non-Social Pop Demograph'!B81="", "", ('Nation-Wide Education Seg'!H81/'Nation Non-Social Pop Demograph'!B81)*10000)</f>
        <v/>
      </c>
      <c r="M81" s="6" t="str">
        <f>IF('Nation Non-Social Pop Demograph'!N81="", "", ('Nation-Wide Education Seg'!H81/'Nation Non-Social Pop Demograph'!N81)*10000)</f>
        <v/>
      </c>
      <c r="N81" s="6"/>
      <c r="O81" s="6"/>
      <c r="P81" s="6"/>
      <c r="Q81" s="6"/>
    </row>
    <row r="82" spans="1:17" x14ac:dyDescent="0.3">
      <c r="A82" s="6" t="s">
        <v>53</v>
      </c>
      <c r="B82" s="6"/>
      <c r="C82" s="6"/>
      <c r="D82" s="6"/>
      <c r="E82" s="6" t="str">
        <f>IF('Nation Wise Summary'!U82="", "", (C82/'Nation Wise Summary'!U82)*100)</f>
        <v/>
      </c>
      <c r="F82" s="6" t="str">
        <f>IF('Nation Non-Social Pop Demograph'!B82="", "", ('Nation-Wide Education Seg'!C82/'Nation Non-Social Pop Demograph'!B82)*10000)</f>
        <v/>
      </c>
      <c r="G82" s="6" t="str">
        <f>IF('Nation Non-Social Pop Demograph'!J82="", "", ('Nation-Wide Education Seg'!C82/'Nation Non-Social Pop Demograph'!J82)*10000)</f>
        <v/>
      </c>
      <c r="H82" s="6"/>
      <c r="I82" s="6"/>
      <c r="J82" s="6"/>
      <c r="K82" s="6" t="str">
        <f>IF('Nation Wise Summary'!U82="", "", 'Nation-Wide Education Seg'!H82/'Nation Wise Summary'!U82)</f>
        <v/>
      </c>
      <c r="L82" s="6" t="str">
        <f>IF('Nation Non-Social Pop Demograph'!B82="", "", ('Nation-Wide Education Seg'!H82/'Nation Non-Social Pop Demograph'!B82)*10000)</f>
        <v/>
      </c>
      <c r="M82" s="6" t="str">
        <f>IF('Nation Non-Social Pop Demograph'!N82="", "", ('Nation-Wide Education Seg'!H82/'Nation Non-Social Pop Demograph'!N82)*10000)</f>
        <v/>
      </c>
      <c r="N82" s="6"/>
      <c r="O82" s="6"/>
      <c r="P82" s="6"/>
      <c r="Q82" s="6"/>
    </row>
    <row r="83" spans="1:17" x14ac:dyDescent="0.3">
      <c r="A83" s="6" t="s">
        <v>663</v>
      </c>
      <c r="B83" s="6"/>
      <c r="C83" s="6"/>
      <c r="D83" s="6"/>
      <c r="E83" s="6" t="str">
        <f>IF('Nation Wise Summary'!U83="", "", (C83/'Nation Wise Summary'!U83)*100)</f>
        <v/>
      </c>
      <c r="F83" s="6" t="str">
        <f>IF('Nation Non-Social Pop Demograph'!B83="", "", ('Nation-Wide Education Seg'!C83/'Nation Non-Social Pop Demograph'!B83)*10000)</f>
        <v/>
      </c>
      <c r="G83" s="6" t="str">
        <f>IF('Nation Non-Social Pop Demograph'!J83="", "", ('Nation-Wide Education Seg'!C83/'Nation Non-Social Pop Demograph'!J83)*10000)</f>
        <v/>
      </c>
      <c r="H83" s="6"/>
      <c r="I83" s="6"/>
      <c r="J83" s="6"/>
      <c r="K83" s="6" t="str">
        <f>IF('Nation Wise Summary'!U83="", "", 'Nation-Wide Education Seg'!H83/'Nation Wise Summary'!U83)</f>
        <v/>
      </c>
      <c r="L83" s="6" t="str">
        <f>IF('Nation Non-Social Pop Demograph'!B83="", "", ('Nation-Wide Education Seg'!H83/'Nation Non-Social Pop Demograph'!B83)*10000)</f>
        <v/>
      </c>
      <c r="M83" s="6" t="str">
        <f>IF('Nation Non-Social Pop Demograph'!N83="", "", ('Nation-Wide Education Seg'!H83/'Nation Non-Social Pop Demograph'!N83)*10000)</f>
        <v/>
      </c>
      <c r="N83" s="6"/>
      <c r="O83" s="6"/>
      <c r="P83" s="6"/>
      <c r="Q83" s="6"/>
    </row>
    <row r="84" spans="1:17" x14ac:dyDescent="0.3">
      <c r="A84" s="6" t="s">
        <v>538</v>
      </c>
      <c r="B84" s="6"/>
      <c r="C84" s="6"/>
      <c r="D84" s="6"/>
      <c r="E84" s="6" t="str">
        <f>IF('Nation Wise Summary'!U84="", "", (C84/'Nation Wise Summary'!U84)*100)</f>
        <v/>
      </c>
      <c r="F84" s="6" t="str">
        <f>IF('Nation Non-Social Pop Demograph'!B84="", "", ('Nation-Wide Education Seg'!C84/'Nation Non-Social Pop Demograph'!B84)*10000)</f>
        <v/>
      </c>
      <c r="G84" s="6" t="str">
        <f>IF('Nation Non-Social Pop Demograph'!J84="", "", ('Nation-Wide Education Seg'!C84/'Nation Non-Social Pop Demograph'!J84)*10000)</f>
        <v/>
      </c>
      <c r="H84" s="6"/>
      <c r="I84" s="6"/>
      <c r="J84" s="6"/>
      <c r="K84" s="6" t="str">
        <f>IF('Nation Wise Summary'!U84="", "", 'Nation-Wide Education Seg'!H84/'Nation Wise Summary'!U84)</f>
        <v/>
      </c>
      <c r="L84" s="6" t="str">
        <f>IF('Nation Non-Social Pop Demograph'!B84="", "", ('Nation-Wide Education Seg'!H84/'Nation Non-Social Pop Demograph'!B84)*10000)</f>
        <v/>
      </c>
      <c r="M84" s="6" t="str">
        <f>IF('Nation Non-Social Pop Demograph'!N84="", "", ('Nation-Wide Education Seg'!H84/'Nation Non-Social Pop Demograph'!N84)*10000)</f>
        <v/>
      </c>
      <c r="N84" s="6"/>
      <c r="O84" s="6"/>
      <c r="P84" s="6"/>
      <c r="Q84" s="6"/>
    </row>
    <row r="85" spans="1:17" x14ac:dyDescent="0.3">
      <c r="A85" s="6" t="s">
        <v>539</v>
      </c>
      <c r="B85" s="6"/>
      <c r="C85" s="6"/>
      <c r="D85" s="6"/>
      <c r="E85" s="6" t="str">
        <f>IF('Nation Wise Summary'!U85="", "", (C85/'Nation Wise Summary'!U85)*100)</f>
        <v/>
      </c>
      <c r="F85" s="6" t="str">
        <f>IF('Nation Non-Social Pop Demograph'!B85="", "", ('Nation-Wide Education Seg'!C85/'Nation Non-Social Pop Demograph'!B85)*10000)</f>
        <v/>
      </c>
      <c r="G85" s="6" t="str">
        <f>IF('Nation Non-Social Pop Demograph'!J85="", "", ('Nation-Wide Education Seg'!C85/'Nation Non-Social Pop Demograph'!J85)*10000)</f>
        <v/>
      </c>
      <c r="H85" s="6"/>
      <c r="I85" s="6"/>
      <c r="J85" s="6"/>
      <c r="K85" s="6" t="str">
        <f>IF('Nation Wise Summary'!U85="", "", 'Nation-Wide Education Seg'!H85/'Nation Wise Summary'!U85)</f>
        <v/>
      </c>
      <c r="L85" s="6" t="str">
        <f>IF('Nation Non-Social Pop Demograph'!B85="", "", ('Nation-Wide Education Seg'!H85/'Nation Non-Social Pop Demograph'!B85)*10000)</f>
        <v/>
      </c>
      <c r="M85" s="6" t="str">
        <f>IF('Nation Non-Social Pop Demograph'!N85="", "", ('Nation-Wide Education Seg'!H85/'Nation Non-Social Pop Demograph'!N85)*10000)</f>
        <v/>
      </c>
      <c r="N85" s="6"/>
      <c r="O85" s="6"/>
      <c r="P85" s="6"/>
      <c r="Q85" s="6"/>
    </row>
    <row r="86" spans="1:17" x14ac:dyDescent="0.3">
      <c r="A86" s="6" t="s">
        <v>540</v>
      </c>
      <c r="B86" s="6"/>
      <c r="C86" s="6"/>
      <c r="D86" s="6"/>
      <c r="E86" s="6" t="str">
        <f>IF('Nation Wise Summary'!U86="", "", (C86/'Nation Wise Summary'!U86)*100)</f>
        <v/>
      </c>
      <c r="F86" s="6" t="str">
        <f>IF('Nation Non-Social Pop Demograph'!B86="", "", ('Nation-Wide Education Seg'!C86/'Nation Non-Social Pop Demograph'!B86)*10000)</f>
        <v/>
      </c>
      <c r="G86" s="6" t="str">
        <f>IF('Nation Non-Social Pop Demograph'!J86="", "", ('Nation-Wide Education Seg'!C86/'Nation Non-Social Pop Demograph'!J86)*10000)</f>
        <v/>
      </c>
      <c r="H86" s="6"/>
      <c r="I86" s="6"/>
      <c r="J86" s="6"/>
      <c r="K86" s="6" t="str">
        <f>IF('Nation Wise Summary'!U86="", "", 'Nation-Wide Education Seg'!H86/'Nation Wise Summary'!U86)</f>
        <v/>
      </c>
      <c r="L86" s="6" t="str">
        <f>IF('Nation Non-Social Pop Demograph'!B86="", "", ('Nation-Wide Education Seg'!H86/'Nation Non-Social Pop Demograph'!B86)*10000)</f>
        <v/>
      </c>
      <c r="M86" s="6" t="str">
        <f>IF('Nation Non-Social Pop Demograph'!N86="", "", ('Nation-Wide Education Seg'!H86/'Nation Non-Social Pop Demograph'!N86)*10000)</f>
        <v/>
      </c>
      <c r="N86" s="6"/>
      <c r="O86" s="6"/>
      <c r="P86" s="6"/>
      <c r="Q86" s="6"/>
    </row>
    <row r="87" spans="1:17" x14ac:dyDescent="0.3">
      <c r="A87" s="6" t="s">
        <v>541</v>
      </c>
      <c r="B87" s="6"/>
      <c r="C87" s="6"/>
      <c r="D87" s="6"/>
      <c r="E87" s="6" t="str">
        <f>IF('Nation Wise Summary'!U87="", "", (C87/'Nation Wise Summary'!U87)*100)</f>
        <v/>
      </c>
      <c r="F87" s="6" t="str">
        <f>IF('Nation Non-Social Pop Demograph'!B87="", "", ('Nation-Wide Education Seg'!C87/'Nation Non-Social Pop Demograph'!B87)*10000)</f>
        <v/>
      </c>
      <c r="G87" s="6" t="str">
        <f>IF('Nation Non-Social Pop Demograph'!J87="", "", ('Nation-Wide Education Seg'!C87/'Nation Non-Social Pop Demograph'!J87)*10000)</f>
        <v/>
      </c>
      <c r="H87" s="6"/>
      <c r="I87" s="6"/>
      <c r="J87" s="6"/>
      <c r="K87" s="6" t="str">
        <f>IF('Nation Wise Summary'!U87="", "", 'Nation-Wide Education Seg'!H87/'Nation Wise Summary'!U87)</f>
        <v/>
      </c>
      <c r="L87" s="6" t="str">
        <f>IF('Nation Non-Social Pop Demograph'!B87="", "", ('Nation-Wide Education Seg'!H87/'Nation Non-Social Pop Demograph'!B87)*10000)</f>
        <v/>
      </c>
      <c r="M87" s="6" t="str">
        <f>IF('Nation Non-Social Pop Demograph'!N87="", "", ('Nation-Wide Education Seg'!H87/'Nation Non-Social Pop Demograph'!N87)*10000)</f>
        <v/>
      </c>
      <c r="N87" s="6"/>
      <c r="O87" s="6"/>
      <c r="P87" s="6"/>
      <c r="Q87" s="6"/>
    </row>
    <row r="88" spans="1:17" x14ac:dyDescent="0.3">
      <c r="A88" s="6" t="s">
        <v>542</v>
      </c>
      <c r="B88" s="6"/>
      <c r="C88" s="6"/>
      <c r="D88" s="6"/>
      <c r="E88" s="6" t="str">
        <f>IF('Nation Wise Summary'!U88="", "", (C88/'Nation Wise Summary'!U88)*100)</f>
        <v/>
      </c>
      <c r="F88" s="6" t="str">
        <f>IF('Nation Non-Social Pop Demograph'!B88="", "", ('Nation-Wide Education Seg'!C88/'Nation Non-Social Pop Demograph'!B88)*10000)</f>
        <v/>
      </c>
      <c r="G88" s="6" t="str">
        <f>IF('Nation Non-Social Pop Demograph'!J88="", "", ('Nation-Wide Education Seg'!C88/'Nation Non-Social Pop Demograph'!J88)*10000)</f>
        <v/>
      </c>
      <c r="H88" s="6"/>
      <c r="I88" s="6"/>
      <c r="J88" s="6"/>
      <c r="K88" s="6" t="str">
        <f>IF('Nation Wise Summary'!U88="", "", 'Nation-Wide Education Seg'!H88/'Nation Wise Summary'!U88)</f>
        <v/>
      </c>
      <c r="L88" s="6" t="str">
        <f>IF('Nation Non-Social Pop Demograph'!B88="", "", ('Nation-Wide Education Seg'!H88/'Nation Non-Social Pop Demograph'!B88)*10000)</f>
        <v/>
      </c>
      <c r="M88" s="6" t="str">
        <f>IF('Nation Non-Social Pop Demograph'!N88="", "", ('Nation-Wide Education Seg'!H88/'Nation Non-Social Pop Demograph'!N88)*10000)</f>
        <v/>
      </c>
      <c r="N88" s="6"/>
      <c r="O88" s="6"/>
      <c r="P88" s="6"/>
      <c r="Q88" s="6"/>
    </row>
    <row r="89" spans="1:17" x14ac:dyDescent="0.3">
      <c r="A89" s="6" t="s">
        <v>543</v>
      </c>
      <c r="B89" s="6"/>
      <c r="C89" s="6"/>
      <c r="D89" s="6"/>
      <c r="E89" s="6" t="str">
        <f>IF('Nation Wise Summary'!U89="", "", (C89/'Nation Wise Summary'!U89)*100)</f>
        <v/>
      </c>
      <c r="F89" s="6" t="str">
        <f>IF('Nation Non-Social Pop Demograph'!B89="", "", ('Nation-Wide Education Seg'!C89/'Nation Non-Social Pop Demograph'!B89)*10000)</f>
        <v/>
      </c>
      <c r="G89" s="6" t="str">
        <f>IF('Nation Non-Social Pop Demograph'!J89="", "", ('Nation-Wide Education Seg'!C89/'Nation Non-Social Pop Demograph'!J89)*10000)</f>
        <v/>
      </c>
      <c r="H89" s="6"/>
      <c r="I89" s="6"/>
      <c r="J89" s="6"/>
      <c r="K89" s="6" t="str">
        <f>IF('Nation Wise Summary'!U89="", "", 'Nation-Wide Education Seg'!H89/'Nation Wise Summary'!U89)</f>
        <v/>
      </c>
      <c r="L89" s="6" t="str">
        <f>IF('Nation Non-Social Pop Demograph'!B89="", "", ('Nation-Wide Education Seg'!H89/'Nation Non-Social Pop Demograph'!B89)*10000)</f>
        <v/>
      </c>
      <c r="M89" s="6" t="str">
        <f>IF('Nation Non-Social Pop Demograph'!N89="", "", ('Nation-Wide Education Seg'!H89/'Nation Non-Social Pop Demograph'!N89)*10000)</f>
        <v/>
      </c>
      <c r="N89" s="6"/>
      <c r="O89" s="6"/>
      <c r="P89" s="6"/>
      <c r="Q89" s="6"/>
    </row>
    <row r="90" spans="1:17" x14ac:dyDescent="0.3">
      <c r="A90" s="6" t="s">
        <v>229</v>
      </c>
      <c r="B90" s="6"/>
      <c r="C90" s="6"/>
      <c r="D90" s="6"/>
      <c r="E90" s="6" t="str">
        <f>IF('Nation Wise Summary'!U90="", "", (C90/'Nation Wise Summary'!U90)*100)</f>
        <v/>
      </c>
      <c r="F90" s="6" t="str">
        <f>IF('Nation Non-Social Pop Demograph'!B90="", "", ('Nation-Wide Education Seg'!C90/'Nation Non-Social Pop Demograph'!B90)*10000)</f>
        <v/>
      </c>
      <c r="G90" s="6" t="str">
        <f>IF('Nation Non-Social Pop Demograph'!J90="", "", ('Nation-Wide Education Seg'!C90/'Nation Non-Social Pop Demograph'!J90)*10000)</f>
        <v/>
      </c>
      <c r="H90" s="6"/>
      <c r="I90" s="6"/>
      <c r="J90" s="6"/>
      <c r="K90" s="6" t="str">
        <f>IF('Nation Wise Summary'!U90="", "", 'Nation-Wide Education Seg'!H90/'Nation Wise Summary'!U90)</f>
        <v/>
      </c>
      <c r="L90" s="6" t="str">
        <f>IF('Nation Non-Social Pop Demograph'!B90="", "", ('Nation-Wide Education Seg'!H90/'Nation Non-Social Pop Demograph'!B90)*10000)</f>
        <v/>
      </c>
      <c r="M90" s="6" t="str">
        <f>IF('Nation Non-Social Pop Demograph'!N90="", "", ('Nation-Wide Education Seg'!H90/'Nation Non-Social Pop Demograph'!N90)*10000)</f>
        <v/>
      </c>
      <c r="N90" s="6"/>
      <c r="O90" s="6"/>
      <c r="P90" s="6"/>
      <c r="Q90" s="6"/>
    </row>
    <row r="91" spans="1:17" x14ac:dyDescent="0.3">
      <c r="A91" s="6" t="s">
        <v>544</v>
      </c>
      <c r="B91" s="6"/>
      <c r="C91" s="6"/>
      <c r="D91" s="6"/>
      <c r="E91" s="6" t="str">
        <f>IF('Nation Wise Summary'!U91="", "", (C91/'Nation Wise Summary'!U91)*100)</f>
        <v/>
      </c>
      <c r="F91" s="6" t="str">
        <f>IF('Nation Non-Social Pop Demograph'!B91="", "", ('Nation-Wide Education Seg'!C91/'Nation Non-Social Pop Demograph'!B91)*10000)</f>
        <v/>
      </c>
      <c r="G91" s="6" t="str">
        <f>IF('Nation Non-Social Pop Demograph'!J91="", "", ('Nation-Wide Education Seg'!C91/'Nation Non-Social Pop Demograph'!J91)*10000)</f>
        <v/>
      </c>
      <c r="H91" s="6"/>
      <c r="I91" s="6"/>
      <c r="J91" s="6"/>
      <c r="K91" s="6" t="str">
        <f>IF('Nation Wise Summary'!U91="", "", 'Nation-Wide Education Seg'!H91/'Nation Wise Summary'!U91)</f>
        <v/>
      </c>
      <c r="L91" s="6" t="str">
        <f>IF('Nation Non-Social Pop Demograph'!B91="", "", ('Nation-Wide Education Seg'!H91/'Nation Non-Social Pop Demograph'!B91)*10000)</f>
        <v/>
      </c>
      <c r="M91" s="6" t="str">
        <f>IF('Nation Non-Social Pop Demograph'!N91="", "", ('Nation-Wide Education Seg'!H91/'Nation Non-Social Pop Demograph'!N91)*10000)</f>
        <v/>
      </c>
      <c r="N91" s="6"/>
      <c r="O91" s="6"/>
      <c r="P91" s="6"/>
      <c r="Q91" s="6"/>
    </row>
    <row r="92" spans="1:17" x14ac:dyDescent="0.3">
      <c r="A92" s="6" t="s">
        <v>553</v>
      </c>
      <c r="B92" s="6"/>
      <c r="C92" s="6"/>
      <c r="D92" s="6"/>
      <c r="E92" s="6" t="str">
        <f>IF('Nation Wise Summary'!U92="", "", (C92/'Nation Wise Summary'!U92)*100)</f>
        <v/>
      </c>
      <c r="F92" s="6" t="str">
        <f>IF('Nation Non-Social Pop Demograph'!B92="", "", ('Nation-Wide Education Seg'!C92/'Nation Non-Social Pop Demograph'!B92)*10000)</f>
        <v/>
      </c>
      <c r="G92" s="6" t="str">
        <f>IF('Nation Non-Social Pop Demograph'!J92="", "", ('Nation-Wide Education Seg'!C92/'Nation Non-Social Pop Demograph'!J92)*10000)</f>
        <v/>
      </c>
      <c r="H92" s="6"/>
      <c r="I92" s="6"/>
      <c r="J92" s="6"/>
      <c r="K92" s="6" t="str">
        <f>IF('Nation Wise Summary'!U92="", "", 'Nation-Wide Education Seg'!H92/'Nation Wise Summary'!U92)</f>
        <v/>
      </c>
      <c r="L92" s="6" t="str">
        <f>IF('Nation Non-Social Pop Demograph'!B92="", "", ('Nation-Wide Education Seg'!H92/'Nation Non-Social Pop Demograph'!B92)*10000)</f>
        <v/>
      </c>
      <c r="M92" s="6" t="str">
        <f>IF('Nation Non-Social Pop Demograph'!N92="", "", ('Nation-Wide Education Seg'!H92/'Nation Non-Social Pop Demograph'!N92)*10000)</f>
        <v/>
      </c>
      <c r="N92" s="6"/>
      <c r="O92" s="6"/>
      <c r="P92" s="6"/>
      <c r="Q92" s="6"/>
    </row>
    <row r="93" spans="1:17" x14ac:dyDescent="0.3">
      <c r="A93" s="6" t="s">
        <v>382</v>
      </c>
      <c r="B93" s="6"/>
      <c r="C93" s="6"/>
      <c r="D93" s="6"/>
      <c r="E93" s="6" t="str">
        <f>IF('Nation Wise Summary'!U93="", "", (C93/'Nation Wise Summary'!U93)*100)</f>
        <v/>
      </c>
      <c r="F93" s="6" t="str">
        <f>IF('Nation Non-Social Pop Demograph'!B93="", "", ('Nation-Wide Education Seg'!C93/'Nation Non-Social Pop Demograph'!B93)*10000)</f>
        <v/>
      </c>
      <c r="G93" s="6" t="str">
        <f>IF('Nation Non-Social Pop Demograph'!J93="", "", ('Nation-Wide Education Seg'!C93/'Nation Non-Social Pop Demograph'!J93)*10000)</f>
        <v/>
      </c>
      <c r="H93" s="6"/>
      <c r="I93" s="6"/>
      <c r="J93" s="6"/>
      <c r="K93" s="6" t="str">
        <f>IF('Nation Wise Summary'!U93="", "", 'Nation-Wide Education Seg'!H93/'Nation Wise Summary'!U93)</f>
        <v/>
      </c>
      <c r="L93" s="6" t="str">
        <f>IF('Nation Non-Social Pop Demograph'!B93="", "", ('Nation-Wide Education Seg'!H93/'Nation Non-Social Pop Demograph'!B93)*10000)</f>
        <v/>
      </c>
      <c r="M93" s="6" t="str">
        <f>IF('Nation Non-Social Pop Demograph'!N93="", "", ('Nation-Wide Education Seg'!H93/'Nation Non-Social Pop Demograph'!N93)*10000)</f>
        <v/>
      </c>
      <c r="N93" s="6"/>
      <c r="O93" s="6"/>
      <c r="P93" s="6"/>
      <c r="Q93" s="6"/>
    </row>
    <row r="94" spans="1:17" x14ac:dyDescent="0.3">
      <c r="A94" s="6" t="s">
        <v>554</v>
      </c>
      <c r="B94" s="6"/>
      <c r="C94" s="6"/>
      <c r="D94" s="6"/>
      <c r="E94" s="6" t="str">
        <f>IF('Nation Wise Summary'!U94="", "", (C94/'Nation Wise Summary'!U94)*100)</f>
        <v/>
      </c>
      <c r="F94" s="6" t="str">
        <f>IF('Nation Non-Social Pop Demograph'!B94="", "", ('Nation-Wide Education Seg'!C94/'Nation Non-Social Pop Demograph'!B94)*10000)</f>
        <v/>
      </c>
      <c r="G94" s="6" t="str">
        <f>IF('Nation Non-Social Pop Demograph'!J94="", "", ('Nation-Wide Education Seg'!C94/'Nation Non-Social Pop Demograph'!J94)*10000)</f>
        <v/>
      </c>
      <c r="H94" s="6"/>
      <c r="I94" s="6"/>
      <c r="J94" s="6"/>
      <c r="K94" s="6" t="str">
        <f>IF('Nation Wise Summary'!U94="", "", 'Nation-Wide Education Seg'!H94/'Nation Wise Summary'!U94)</f>
        <v/>
      </c>
      <c r="L94" s="6" t="str">
        <f>IF('Nation Non-Social Pop Demograph'!B94="", "", ('Nation-Wide Education Seg'!H94/'Nation Non-Social Pop Demograph'!B94)*10000)</f>
        <v/>
      </c>
      <c r="M94" s="6" t="str">
        <f>IF('Nation Non-Social Pop Demograph'!N94="", "", ('Nation-Wide Education Seg'!H94/'Nation Non-Social Pop Demograph'!N94)*10000)</f>
        <v/>
      </c>
      <c r="N94" s="6"/>
      <c r="O94" s="6"/>
      <c r="P94" s="6"/>
      <c r="Q94" s="6"/>
    </row>
    <row r="95" spans="1:17" x14ac:dyDescent="0.3">
      <c r="A95" s="6" t="s">
        <v>307</v>
      </c>
      <c r="B95" s="6"/>
      <c r="C95" s="6"/>
      <c r="D95" s="6"/>
      <c r="E95" s="6" t="str">
        <f>IF('Nation Wise Summary'!U95="", "", (C95/'Nation Wise Summary'!U95)*100)</f>
        <v/>
      </c>
      <c r="F95" s="6" t="str">
        <f>IF('Nation Non-Social Pop Demograph'!B95="", "", ('Nation-Wide Education Seg'!C95/'Nation Non-Social Pop Demograph'!B95)*10000)</f>
        <v/>
      </c>
      <c r="G95" s="6" t="str">
        <f>IF('Nation Non-Social Pop Demograph'!J95="", "", ('Nation-Wide Education Seg'!C95/'Nation Non-Social Pop Demograph'!J95)*10000)</f>
        <v/>
      </c>
      <c r="H95" s="6"/>
      <c r="I95" s="6"/>
      <c r="J95" s="6"/>
      <c r="K95" s="6" t="str">
        <f>IF('Nation Wise Summary'!U95="", "", 'Nation-Wide Education Seg'!H95/'Nation Wise Summary'!U95)</f>
        <v/>
      </c>
      <c r="L95" s="6" t="str">
        <f>IF('Nation Non-Social Pop Demograph'!B95="", "", ('Nation-Wide Education Seg'!H95/'Nation Non-Social Pop Demograph'!B95)*10000)</f>
        <v/>
      </c>
      <c r="M95" s="6" t="str">
        <f>IF('Nation Non-Social Pop Demograph'!N95="", "", ('Nation-Wide Education Seg'!H95/'Nation Non-Social Pop Demograph'!N95)*10000)</f>
        <v/>
      </c>
      <c r="N95" s="6"/>
      <c r="O95" s="6"/>
      <c r="P95" s="6"/>
      <c r="Q95" s="6"/>
    </row>
    <row r="96" spans="1:17" x14ac:dyDescent="0.3">
      <c r="A96" s="6" t="s">
        <v>61</v>
      </c>
      <c r="B96" s="6"/>
      <c r="C96" s="6"/>
      <c r="D96" s="6"/>
      <c r="E96" s="6" t="str">
        <f>IF('Nation Wise Summary'!U96="", "", (C96/'Nation Wise Summary'!U96)*100)</f>
        <v/>
      </c>
      <c r="F96" s="6" t="str">
        <f>IF('Nation Non-Social Pop Demograph'!B96="", "", ('Nation-Wide Education Seg'!C96/'Nation Non-Social Pop Demograph'!B96)*10000)</f>
        <v/>
      </c>
      <c r="G96" s="6" t="str">
        <f>IF('Nation Non-Social Pop Demograph'!J96="", "", ('Nation-Wide Education Seg'!C96/'Nation Non-Social Pop Demograph'!J96)*10000)</f>
        <v/>
      </c>
      <c r="H96" s="6"/>
      <c r="I96" s="6"/>
      <c r="J96" s="6"/>
      <c r="K96" s="6" t="str">
        <f>IF('Nation Wise Summary'!U96="", "", 'Nation-Wide Education Seg'!H96/'Nation Wise Summary'!U96)</f>
        <v/>
      </c>
      <c r="L96" s="6" t="str">
        <f>IF('Nation Non-Social Pop Demograph'!B96="", "", ('Nation-Wide Education Seg'!H96/'Nation Non-Social Pop Demograph'!B96)*10000)</f>
        <v/>
      </c>
      <c r="M96" s="6" t="str">
        <f>IF('Nation Non-Social Pop Demograph'!N96="", "", ('Nation-Wide Education Seg'!H96/'Nation Non-Social Pop Demograph'!N96)*10000)</f>
        <v/>
      </c>
      <c r="N96" s="6"/>
      <c r="O96" s="6"/>
      <c r="P96" s="6"/>
      <c r="Q96" s="6"/>
    </row>
    <row r="97" spans="1:17" x14ac:dyDescent="0.3">
      <c r="A97" s="6" t="s">
        <v>555</v>
      </c>
      <c r="B97" s="6"/>
      <c r="C97" s="6"/>
      <c r="D97" s="6"/>
      <c r="E97" s="6" t="str">
        <f>IF('Nation Wise Summary'!U97="", "", (C97/'Nation Wise Summary'!U97)*100)</f>
        <v/>
      </c>
      <c r="F97" s="6" t="str">
        <f>IF('Nation Non-Social Pop Demograph'!B97="", "", ('Nation-Wide Education Seg'!C97/'Nation Non-Social Pop Demograph'!B97)*10000)</f>
        <v/>
      </c>
      <c r="G97" s="6" t="str">
        <f>IF('Nation Non-Social Pop Demograph'!J97="", "", ('Nation-Wide Education Seg'!C97/'Nation Non-Social Pop Demograph'!J97)*10000)</f>
        <v/>
      </c>
      <c r="H97" s="6"/>
      <c r="I97" s="6"/>
      <c r="J97" s="6"/>
      <c r="K97" s="6" t="str">
        <f>IF('Nation Wise Summary'!U97="", "", 'Nation-Wide Education Seg'!H97/'Nation Wise Summary'!U97)</f>
        <v/>
      </c>
      <c r="L97" s="6" t="str">
        <f>IF('Nation Non-Social Pop Demograph'!B97="", "", ('Nation-Wide Education Seg'!H97/'Nation Non-Social Pop Demograph'!B97)*10000)</f>
        <v/>
      </c>
      <c r="M97" s="6" t="str">
        <f>IF('Nation Non-Social Pop Demograph'!N97="", "", ('Nation-Wide Education Seg'!H97/'Nation Non-Social Pop Demograph'!N97)*10000)</f>
        <v/>
      </c>
      <c r="N97" s="6"/>
      <c r="O97" s="6"/>
      <c r="P97" s="6"/>
      <c r="Q97" s="6"/>
    </row>
    <row r="98" spans="1:17" x14ac:dyDescent="0.3">
      <c r="A98" s="6" t="s">
        <v>556</v>
      </c>
      <c r="B98" s="6"/>
      <c r="C98" s="6"/>
      <c r="D98" s="6"/>
      <c r="E98" s="6" t="str">
        <f>IF('Nation Wise Summary'!U98="", "", (C98/'Nation Wise Summary'!U98)*100)</f>
        <v/>
      </c>
      <c r="F98" s="6" t="str">
        <f>IF('Nation Non-Social Pop Demograph'!B98="", "", ('Nation-Wide Education Seg'!C98/'Nation Non-Social Pop Demograph'!B98)*10000)</f>
        <v/>
      </c>
      <c r="G98" s="6" t="str">
        <f>IF('Nation Non-Social Pop Demograph'!J98="", "", ('Nation-Wide Education Seg'!C98/'Nation Non-Social Pop Demograph'!J98)*10000)</f>
        <v/>
      </c>
      <c r="H98" s="6"/>
      <c r="I98" s="6"/>
      <c r="J98" s="6"/>
      <c r="K98" s="6" t="str">
        <f>IF('Nation Wise Summary'!U98="", "", 'Nation-Wide Education Seg'!H98/'Nation Wise Summary'!U98)</f>
        <v/>
      </c>
      <c r="L98" s="6" t="str">
        <f>IF('Nation Non-Social Pop Demograph'!B98="", "", ('Nation-Wide Education Seg'!H98/'Nation Non-Social Pop Demograph'!B98)*10000)</f>
        <v/>
      </c>
      <c r="M98" s="6" t="str">
        <f>IF('Nation Non-Social Pop Demograph'!N98="", "", ('Nation-Wide Education Seg'!H98/'Nation Non-Social Pop Demograph'!N98)*10000)</f>
        <v/>
      </c>
      <c r="N98" s="6"/>
      <c r="O98" s="6"/>
      <c r="P98" s="6"/>
      <c r="Q98" s="6"/>
    </row>
    <row r="99" spans="1:17" x14ac:dyDescent="0.3">
      <c r="A99" s="6" t="s">
        <v>45</v>
      </c>
      <c r="B99" s="6"/>
      <c r="C99" s="6"/>
      <c r="D99" s="6"/>
      <c r="E99" s="6" t="str">
        <f>IF('Nation Wise Summary'!U99="", "", (C99/'Nation Wise Summary'!U99)*100)</f>
        <v/>
      </c>
      <c r="F99" s="6" t="str">
        <f>IF('Nation Non-Social Pop Demograph'!B99="", "", ('Nation-Wide Education Seg'!C99/'Nation Non-Social Pop Demograph'!B99)*10000)</f>
        <v/>
      </c>
      <c r="G99" s="6" t="str">
        <f>IF('Nation Non-Social Pop Demograph'!J99="", "", ('Nation-Wide Education Seg'!C99/'Nation Non-Social Pop Demograph'!J99)*10000)</f>
        <v/>
      </c>
      <c r="H99" s="6"/>
      <c r="I99" s="6"/>
      <c r="J99" s="6"/>
      <c r="K99" s="6" t="str">
        <f>IF('Nation Wise Summary'!U99="", "", 'Nation-Wide Education Seg'!H99/'Nation Wise Summary'!U99)</f>
        <v/>
      </c>
      <c r="L99" s="6" t="str">
        <f>IF('Nation Non-Social Pop Demograph'!B99="", "", ('Nation-Wide Education Seg'!H99/'Nation Non-Social Pop Demograph'!B99)*10000)</f>
        <v/>
      </c>
      <c r="M99" s="6" t="str">
        <f>IF('Nation Non-Social Pop Demograph'!N99="", "", ('Nation-Wide Education Seg'!H99/'Nation Non-Social Pop Demograph'!N99)*10000)</f>
        <v/>
      </c>
      <c r="N99" s="6"/>
      <c r="O99" s="6"/>
      <c r="P99" s="6"/>
      <c r="Q99" s="6"/>
    </row>
    <row r="100" spans="1:17" x14ac:dyDescent="0.3">
      <c r="A100" s="6" t="s">
        <v>557</v>
      </c>
      <c r="B100" s="6"/>
      <c r="C100" s="6"/>
      <c r="D100" s="6"/>
      <c r="E100" s="6" t="str">
        <f>IF('Nation Wise Summary'!U100="", "", (C100/'Nation Wise Summary'!U100)*100)</f>
        <v/>
      </c>
      <c r="F100" s="6" t="str">
        <f>IF('Nation Non-Social Pop Demograph'!B100="", "", ('Nation-Wide Education Seg'!C100/'Nation Non-Social Pop Demograph'!B100)*10000)</f>
        <v/>
      </c>
      <c r="G100" s="6" t="str">
        <f>IF('Nation Non-Social Pop Demograph'!J100="", "", ('Nation-Wide Education Seg'!C100/'Nation Non-Social Pop Demograph'!J100)*10000)</f>
        <v/>
      </c>
      <c r="H100" s="6"/>
      <c r="I100" s="6"/>
      <c r="J100" s="6"/>
      <c r="K100" s="6" t="str">
        <f>IF('Nation Wise Summary'!U100="", "", 'Nation-Wide Education Seg'!H100/'Nation Wise Summary'!U100)</f>
        <v/>
      </c>
      <c r="L100" s="6" t="str">
        <f>IF('Nation Non-Social Pop Demograph'!B100="", "", ('Nation-Wide Education Seg'!H100/'Nation Non-Social Pop Demograph'!B100)*10000)</f>
        <v/>
      </c>
      <c r="M100" s="6" t="str">
        <f>IF('Nation Non-Social Pop Demograph'!N100="", "", ('Nation-Wide Education Seg'!H100/'Nation Non-Social Pop Demograph'!N100)*10000)</f>
        <v/>
      </c>
      <c r="N100" s="6"/>
      <c r="O100" s="6"/>
      <c r="P100" s="6"/>
      <c r="Q100" s="6"/>
    </row>
    <row r="101" spans="1:17" x14ac:dyDescent="0.3">
      <c r="A101" s="6" t="s">
        <v>558</v>
      </c>
      <c r="B101" s="6"/>
      <c r="C101" s="6"/>
      <c r="D101" s="6"/>
      <c r="E101" s="6" t="str">
        <f>IF('Nation Wise Summary'!U101="", "", (C101/'Nation Wise Summary'!U101)*100)</f>
        <v/>
      </c>
      <c r="F101" s="6" t="str">
        <f>IF('Nation Non-Social Pop Demograph'!B101="", "", ('Nation-Wide Education Seg'!C101/'Nation Non-Social Pop Demograph'!B101)*10000)</f>
        <v/>
      </c>
      <c r="G101" s="6" t="str">
        <f>IF('Nation Non-Social Pop Demograph'!J101="", "", ('Nation-Wide Education Seg'!C101/'Nation Non-Social Pop Demograph'!J101)*10000)</f>
        <v/>
      </c>
      <c r="H101" s="6"/>
      <c r="I101" s="6"/>
      <c r="J101" s="6"/>
      <c r="K101" s="6" t="str">
        <f>IF('Nation Wise Summary'!U101="", "", 'Nation-Wide Education Seg'!H101/'Nation Wise Summary'!U101)</f>
        <v/>
      </c>
      <c r="L101" s="6" t="str">
        <f>IF('Nation Non-Social Pop Demograph'!B101="", "", ('Nation-Wide Education Seg'!H101/'Nation Non-Social Pop Demograph'!B101)*10000)</f>
        <v/>
      </c>
      <c r="M101" s="6" t="str">
        <f>IF('Nation Non-Social Pop Demograph'!N101="", "", ('Nation-Wide Education Seg'!H101/'Nation Non-Social Pop Demograph'!N101)*10000)</f>
        <v/>
      </c>
      <c r="N101" s="6"/>
      <c r="O101" s="6"/>
      <c r="P101" s="6"/>
      <c r="Q101" s="6"/>
    </row>
    <row r="102" spans="1:17" x14ac:dyDescent="0.3">
      <c r="A102" s="6" t="s">
        <v>559</v>
      </c>
      <c r="B102" s="6"/>
      <c r="C102" s="6"/>
      <c r="D102" s="6"/>
      <c r="E102" s="6" t="str">
        <f>IF('Nation Wise Summary'!U102="", "", (C102/'Nation Wise Summary'!U102)*100)</f>
        <v/>
      </c>
      <c r="F102" s="6" t="str">
        <f>IF('Nation Non-Social Pop Demograph'!B102="", "", ('Nation-Wide Education Seg'!C102/'Nation Non-Social Pop Demograph'!B102)*10000)</f>
        <v/>
      </c>
      <c r="G102" s="6" t="str">
        <f>IF('Nation Non-Social Pop Demograph'!J102="", "", ('Nation-Wide Education Seg'!C102/'Nation Non-Social Pop Demograph'!J102)*10000)</f>
        <v/>
      </c>
      <c r="H102" s="6"/>
      <c r="I102" s="6"/>
      <c r="J102" s="6"/>
      <c r="K102" s="6" t="str">
        <f>IF('Nation Wise Summary'!U102="", "", 'Nation-Wide Education Seg'!H102/'Nation Wise Summary'!U102)</f>
        <v/>
      </c>
      <c r="L102" s="6" t="str">
        <f>IF('Nation Non-Social Pop Demograph'!B102="", "", ('Nation-Wide Education Seg'!H102/'Nation Non-Social Pop Demograph'!B102)*10000)</f>
        <v/>
      </c>
      <c r="M102" s="6" t="str">
        <f>IF('Nation Non-Social Pop Demograph'!N102="", "", ('Nation-Wide Education Seg'!H102/'Nation Non-Social Pop Demograph'!N102)*10000)</f>
        <v/>
      </c>
      <c r="N102" s="6"/>
      <c r="O102" s="6"/>
      <c r="P102" s="6"/>
      <c r="Q102" s="6"/>
    </row>
    <row r="103" spans="1:17" x14ac:dyDescent="0.3">
      <c r="A103" s="6" t="s">
        <v>560</v>
      </c>
      <c r="B103" s="6"/>
      <c r="C103" s="6"/>
      <c r="D103" s="6"/>
      <c r="E103" s="6" t="str">
        <f>IF('Nation Wise Summary'!U103="", "", (C103/'Nation Wise Summary'!U103)*100)</f>
        <v/>
      </c>
      <c r="F103" s="6" t="str">
        <f>IF('Nation Non-Social Pop Demograph'!B103="", "", ('Nation-Wide Education Seg'!C103/'Nation Non-Social Pop Demograph'!B103)*10000)</f>
        <v/>
      </c>
      <c r="G103" s="6" t="str">
        <f>IF('Nation Non-Social Pop Demograph'!J103="", "", ('Nation-Wide Education Seg'!C103/'Nation Non-Social Pop Demograph'!J103)*10000)</f>
        <v/>
      </c>
      <c r="H103" s="6"/>
      <c r="I103" s="6"/>
      <c r="J103" s="6"/>
      <c r="K103" s="6" t="str">
        <f>IF('Nation Wise Summary'!U103="", "", 'Nation-Wide Education Seg'!H103/'Nation Wise Summary'!U103)</f>
        <v/>
      </c>
      <c r="L103" s="6" t="str">
        <f>IF('Nation Non-Social Pop Demograph'!B103="", "", ('Nation-Wide Education Seg'!H103/'Nation Non-Social Pop Demograph'!B103)*10000)</f>
        <v/>
      </c>
      <c r="M103" s="6" t="str">
        <f>IF('Nation Non-Social Pop Demograph'!N103="", "", ('Nation-Wide Education Seg'!H103/'Nation Non-Social Pop Demograph'!N103)*10000)</f>
        <v/>
      </c>
      <c r="N103" s="6"/>
      <c r="O103" s="6"/>
      <c r="P103" s="6"/>
      <c r="Q103" s="6"/>
    </row>
    <row r="104" spans="1:17" x14ac:dyDescent="0.3">
      <c r="A104" s="6" t="s">
        <v>561</v>
      </c>
      <c r="B104" s="6"/>
      <c r="C104" s="6"/>
      <c r="D104" s="6"/>
      <c r="E104" s="6" t="str">
        <f>IF('Nation Wise Summary'!U104="", "", (C104/'Nation Wise Summary'!U104)*100)</f>
        <v/>
      </c>
      <c r="F104" s="6" t="str">
        <f>IF('Nation Non-Social Pop Demograph'!B104="", "", ('Nation-Wide Education Seg'!C104/'Nation Non-Social Pop Demograph'!B104)*10000)</f>
        <v/>
      </c>
      <c r="G104" s="6" t="str">
        <f>IF('Nation Non-Social Pop Demograph'!J104="", "", ('Nation-Wide Education Seg'!C104/'Nation Non-Social Pop Demograph'!J104)*10000)</f>
        <v/>
      </c>
      <c r="H104" s="6"/>
      <c r="I104" s="6"/>
      <c r="J104" s="6"/>
      <c r="K104" s="6" t="str">
        <f>IF('Nation Wise Summary'!U104="", "", 'Nation-Wide Education Seg'!H104/'Nation Wise Summary'!U104)</f>
        <v/>
      </c>
      <c r="L104" s="6" t="str">
        <f>IF('Nation Non-Social Pop Demograph'!B104="", "", ('Nation-Wide Education Seg'!H104/'Nation Non-Social Pop Demograph'!B104)*10000)</f>
        <v/>
      </c>
      <c r="M104" s="6" t="str">
        <f>IF('Nation Non-Social Pop Demograph'!N104="", "", ('Nation-Wide Education Seg'!H104/'Nation Non-Social Pop Demograph'!N104)*10000)</f>
        <v/>
      </c>
      <c r="N104" s="6"/>
      <c r="O104" s="6"/>
      <c r="P104" s="6"/>
      <c r="Q104" s="6"/>
    </row>
    <row r="105" spans="1:17" x14ac:dyDescent="0.3">
      <c r="A105" s="6" t="s">
        <v>562</v>
      </c>
      <c r="B105" s="6"/>
      <c r="C105" s="6"/>
      <c r="D105" s="6"/>
      <c r="E105" s="6" t="str">
        <f>IF('Nation Wise Summary'!U105="", "", (C105/'Nation Wise Summary'!U105)*100)</f>
        <v/>
      </c>
      <c r="F105" s="6" t="str">
        <f>IF('Nation Non-Social Pop Demograph'!B105="", "", ('Nation-Wide Education Seg'!C105/'Nation Non-Social Pop Demograph'!B105)*10000)</f>
        <v/>
      </c>
      <c r="G105" s="6" t="str">
        <f>IF('Nation Non-Social Pop Demograph'!J105="", "", ('Nation-Wide Education Seg'!C105/'Nation Non-Social Pop Demograph'!J105)*10000)</f>
        <v/>
      </c>
      <c r="H105" s="6"/>
      <c r="I105" s="6"/>
      <c r="J105" s="6"/>
      <c r="K105" s="6" t="str">
        <f>IF('Nation Wise Summary'!U105="", "", 'Nation-Wide Education Seg'!H105/'Nation Wise Summary'!U105)</f>
        <v/>
      </c>
      <c r="L105" s="6" t="str">
        <f>IF('Nation Non-Social Pop Demograph'!B105="", "", ('Nation-Wide Education Seg'!H105/'Nation Non-Social Pop Demograph'!B105)*10000)</f>
        <v/>
      </c>
      <c r="M105" s="6" t="str">
        <f>IF('Nation Non-Social Pop Demograph'!N105="", "", ('Nation-Wide Education Seg'!H105/'Nation Non-Social Pop Demograph'!N105)*10000)</f>
        <v/>
      </c>
      <c r="N105" s="6"/>
      <c r="O105" s="6"/>
      <c r="P105" s="6"/>
      <c r="Q105" s="6"/>
    </row>
    <row r="106" spans="1:17" x14ac:dyDescent="0.3">
      <c r="A106" s="6" t="s">
        <v>563</v>
      </c>
      <c r="B106" s="6"/>
      <c r="C106" s="6"/>
      <c r="D106" s="6"/>
      <c r="E106" s="6" t="str">
        <f>IF('Nation Wise Summary'!U106="", "", (C106/'Nation Wise Summary'!U106)*100)</f>
        <v/>
      </c>
      <c r="F106" s="6" t="str">
        <f>IF('Nation Non-Social Pop Demograph'!B106="", "", ('Nation-Wide Education Seg'!C106/'Nation Non-Social Pop Demograph'!B106)*10000)</f>
        <v/>
      </c>
      <c r="G106" s="6" t="str">
        <f>IF('Nation Non-Social Pop Demograph'!J106="", "", ('Nation-Wide Education Seg'!C106/'Nation Non-Social Pop Demograph'!J106)*10000)</f>
        <v/>
      </c>
      <c r="H106" s="6"/>
      <c r="I106" s="6"/>
      <c r="J106" s="6"/>
      <c r="K106" s="6" t="str">
        <f>IF('Nation Wise Summary'!U106="", "", 'Nation-Wide Education Seg'!H106/'Nation Wise Summary'!U106)</f>
        <v/>
      </c>
      <c r="L106" s="6" t="str">
        <f>IF('Nation Non-Social Pop Demograph'!B106="", "", ('Nation-Wide Education Seg'!H106/'Nation Non-Social Pop Demograph'!B106)*10000)</f>
        <v/>
      </c>
      <c r="M106" s="6" t="str">
        <f>IF('Nation Non-Social Pop Demograph'!N106="", "", ('Nation-Wide Education Seg'!H106/'Nation Non-Social Pop Demograph'!N106)*10000)</f>
        <v/>
      </c>
      <c r="N106" s="6"/>
      <c r="O106" s="6"/>
      <c r="P106" s="6"/>
      <c r="Q106" s="6"/>
    </row>
    <row r="107" spans="1:17" x14ac:dyDescent="0.3">
      <c r="A107" s="6" t="s">
        <v>564</v>
      </c>
      <c r="B107" s="6"/>
      <c r="C107" s="6"/>
      <c r="D107" s="6"/>
      <c r="E107" s="6" t="str">
        <f>IF('Nation Wise Summary'!U107="", "", (C107/'Nation Wise Summary'!U107)*100)</f>
        <v/>
      </c>
      <c r="F107" s="6" t="str">
        <f>IF('Nation Non-Social Pop Demograph'!B107="", "", ('Nation-Wide Education Seg'!C107/'Nation Non-Social Pop Demograph'!B107)*10000)</f>
        <v/>
      </c>
      <c r="G107" s="6" t="str">
        <f>IF('Nation Non-Social Pop Demograph'!J107="", "", ('Nation-Wide Education Seg'!C107/'Nation Non-Social Pop Demograph'!J107)*10000)</f>
        <v/>
      </c>
      <c r="H107" s="6"/>
      <c r="I107" s="6"/>
      <c r="J107" s="6"/>
      <c r="K107" s="6" t="str">
        <f>IF('Nation Wise Summary'!U107="", "", 'Nation-Wide Education Seg'!H107/'Nation Wise Summary'!U107)</f>
        <v/>
      </c>
      <c r="L107" s="6" t="str">
        <f>IF('Nation Non-Social Pop Demograph'!B107="", "", ('Nation-Wide Education Seg'!H107/'Nation Non-Social Pop Demograph'!B107)*10000)</f>
        <v/>
      </c>
      <c r="M107" s="6" t="str">
        <f>IF('Nation Non-Social Pop Demograph'!N107="", "", ('Nation-Wide Education Seg'!H107/'Nation Non-Social Pop Demograph'!N107)*10000)</f>
        <v/>
      </c>
      <c r="N107" s="6"/>
      <c r="O107" s="6"/>
      <c r="P107" s="6"/>
      <c r="Q107" s="6"/>
    </row>
    <row r="108" spans="1:17" x14ac:dyDescent="0.3">
      <c r="A108" s="6" t="s">
        <v>565</v>
      </c>
      <c r="B108" s="6"/>
      <c r="C108" s="6"/>
      <c r="D108" s="6"/>
      <c r="E108" s="6" t="str">
        <f>IF('Nation Wise Summary'!U108="", "", (C108/'Nation Wise Summary'!U108)*100)</f>
        <v/>
      </c>
      <c r="F108" s="6" t="str">
        <f>IF('Nation Non-Social Pop Demograph'!B108="", "", ('Nation-Wide Education Seg'!C108/'Nation Non-Social Pop Demograph'!B108)*10000)</f>
        <v/>
      </c>
      <c r="G108" s="6" t="str">
        <f>IF('Nation Non-Social Pop Demograph'!J108="", "", ('Nation-Wide Education Seg'!C108/'Nation Non-Social Pop Demograph'!J108)*10000)</f>
        <v/>
      </c>
      <c r="H108" s="6"/>
      <c r="I108" s="6"/>
      <c r="J108" s="6"/>
      <c r="K108" s="6" t="str">
        <f>IF('Nation Wise Summary'!U108="", "", 'Nation-Wide Education Seg'!H108/'Nation Wise Summary'!U108)</f>
        <v/>
      </c>
      <c r="L108" s="6" t="str">
        <f>IF('Nation Non-Social Pop Demograph'!B108="", "", ('Nation-Wide Education Seg'!H108/'Nation Non-Social Pop Demograph'!B108)*10000)</f>
        <v/>
      </c>
      <c r="M108" s="6" t="str">
        <f>IF('Nation Non-Social Pop Demograph'!N108="", "", ('Nation-Wide Education Seg'!H108/'Nation Non-Social Pop Demograph'!N108)*10000)</f>
        <v/>
      </c>
      <c r="N108" s="6"/>
      <c r="O108" s="6"/>
      <c r="P108" s="6"/>
      <c r="Q108" s="6"/>
    </row>
    <row r="109" spans="1:17" x14ac:dyDescent="0.3">
      <c r="A109" s="6" t="s">
        <v>566</v>
      </c>
      <c r="B109" s="6"/>
      <c r="C109" s="6"/>
      <c r="D109" s="6"/>
      <c r="E109" s="6" t="str">
        <f>IF('Nation Wise Summary'!U109="", "", (C109/'Nation Wise Summary'!U109)*100)</f>
        <v/>
      </c>
      <c r="F109" s="6" t="str">
        <f>IF('Nation Non-Social Pop Demograph'!B109="", "", ('Nation-Wide Education Seg'!C109/'Nation Non-Social Pop Demograph'!B109)*10000)</f>
        <v/>
      </c>
      <c r="G109" s="6" t="str">
        <f>IF('Nation Non-Social Pop Demograph'!J109="", "", ('Nation-Wide Education Seg'!C109/'Nation Non-Social Pop Demograph'!J109)*10000)</f>
        <v/>
      </c>
      <c r="H109" s="6"/>
      <c r="I109" s="6"/>
      <c r="J109" s="6"/>
      <c r="K109" s="6" t="str">
        <f>IF('Nation Wise Summary'!U109="", "", 'Nation-Wide Education Seg'!H109/'Nation Wise Summary'!U109)</f>
        <v/>
      </c>
      <c r="L109" s="6" t="str">
        <f>IF('Nation Non-Social Pop Demograph'!B109="", "", ('Nation-Wide Education Seg'!H109/'Nation Non-Social Pop Demograph'!B109)*10000)</f>
        <v/>
      </c>
      <c r="M109" s="6" t="str">
        <f>IF('Nation Non-Social Pop Demograph'!N109="", "", ('Nation-Wide Education Seg'!H109/'Nation Non-Social Pop Demograph'!N109)*10000)</f>
        <v/>
      </c>
      <c r="N109" s="6"/>
      <c r="O109" s="6"/>
      <c r="P109" s="6"/>
      <c r="Q109" s="6"/>
    </row>
    <row r="110" spans="1:17" x14ac:dyDescent="0.3">
      <c r="A110" s="6" t="s">
        <v>567</v>
      </c>
      <c r="B110" s="6"/>
      <c r="C110" s="6"/>
      <c r="D110" s="6"/>
      <c r="E110" s="6" t="str">
        <f>IF('Nation Wise Summary'!U110="", "", (C110/'Nation Wise Summary'!U110)*100)</f>
        <v/>
      </c>
      <c r="F110" s="6" t="str">
        <f>IF('Nation Non-Social Pop Demograph'!B110="", "", ('Nation-Wide Education Seg'!C110/'Nation Non-Social Pop Demograph'!B110)*10000)</f>
        <v/>
      </c>
      <c r="G110" s="6" t="str">
        <f>IF('Nation Non-Social Pop Demograph'!J110="", "", ('Nation-Wide Education Seg'!C110/'Nation Non-Social Pop Demograph'!J110)*10000)</f>
        <v/>
      </c>
      <c r="H110" s="6"/>
      <c r="I110" s="6"/>
      <c r="J110" s="6"/>
      <c r="K110" s="6" t="str">
        <f>IF('Nation Wise Summary'!U110="", "", 'Nation-Wide Education Seg'!H110/'Nation Wise Summary'!U110)</f>
        <v/>
      </c>
      <c r="L110" s="6" t="str">
        <f>IF('Nation Non-Social Pop Demograph'!B110="", "", ('Nation-Wide Education Seg'!H110/'Nation Non-Social Pop Demograph'!B110)*10000)</f>
        <v/>
      </c>
      <c r="M110" s="6" t="str">
        <f>IF('Nation Non-Social Pop Demograph'!N110="", "", ('Nation-Wide Education Seg'!H110/'Nation Non-Social Pop Demograph'!N110)*10000)</f>
        <v/>
      </c>
      <c r="N110" s="6"/>
      <c r="O110" s="6"/>
      <c r="P110" s="6"/>
      <c r="Q110" s="6"/>
    </row>
    <row r="111" spans="1:17" x14ac:dyDescent="0.3">
      <c r="A111" s="6" t="s">
        <v>568</v>
      </c>
      <c r="B111" s="6"/>
      <c r="C111" s="6"/>
      <c r="D111" s="6"/>
      <c r="E111" s="6" t="str">
        <f>IF('Nation Wise Summary'!U111="", "", (C111/'Nation Wise Summary'!U111)*100)</f>
        <v/>
      </c>
      <c r="F111" s="6" t="str">
        <f>IF('Nation Non-Social Pop Demograph'!B111="", "", ('Nation-Wide Education Seg'!C111/'Nation Non-Social Pop Demograph'!B111)*10000)</f>
        <v/>
      </c>
      <c r="G111" s="6" t="str">
        <f>IF('Nation Non-Social Pop Demograph'!J111="", "", ('Nation-Wide Education Seg'!C111/'Nation Non-Social Pop Demograph'!J111)*10000)</f>
        <v/>
      </c>
      <c r="H111" s="6"/>
      <c r="I111" s="6"/>
      <c r="J111" s="6"/>
      <c r="K111" s="6" t="str">
        <f>IF('Nation Wise Summary'!U111="", "", 'Nation-Wide Education Seg'!H111/'Nation Wise Summary'!U111)</f>
        <v/>
      </c>
      <c r="L111" s="6" t="str">
        <f>IF('Nation Non-Social Pop Demograph'!B111="", "", ('Nation-Wide Education Seg'!H111/'Nation Non-Social Pop Demograph'!B111)*10000)</f>
        <v/>
      </c>
      <c r="M111" s="6" t="str">
        <f>IF('Nation Non-Social Pop Demograph'!N111="", "", ('Nation-Wide Education Seg'!H111/'Nation Non-Social Pop Demograph'!N111)*10000)</f>
        <v/>
      </c>
      <c r="N111" s="6"/>
      <c r="O111" s="6"/>
      <c r="P111" s="6"/>
      <c r="Q111" s="6"/>
    </row>
    <row r="112" spans="1:17" x14ac:dyDescent="0.3">
      <c r="A112" s="6" t="s">
        <v>235</v>
      </c>
      <c r="B112" s="6"/>
      <c r="C112" s="6"/>
      <c r="D112" s="6"/>
      <c r="E112" s="6" t="str">
        <f>IF('Nation Wise Summary'!U112="", "", (C112/'Nation Wise Summary'!U112)*100)</f>
        <v/>
      </c>
      <c r="F112" s="6" t="str">
        <f>IF('Nation Non-Social Pop Demograph'!B112="", "", ('Nation-Wide Education Seg'!C112/'Nation Non-Social Pop Demograph'!B112)*10000)</f>
        <v/>
      </c>
      <c r="G112" s="6" t="str">
        <f>IF('Nation Non-Social Pop Demograph'!J112="", "", ('Nation-Wide Education Seg'!C112/'Nation Non-Social Pop Demograph'!J112)*10000)</f>
        <v/>
      </c>
      <c r="H112" s="6"/>
      <c r="I112" s="6"/>
      <c r="J112" s="6"/>
      <c r="K112" s="6" t="str">
        <f>IF('Nation Wise Summary'!U112="", "", 'Nation-Wide Education Seg'!H112/'Nation Wise Summary'!U112)</f>
        <v/>
      </c>
      <c r="L112" s="6" t="str">
        <f>IF('Nation Non-Social Pop Demograph'!B112="", "", ('Nation-Wide Education Seg'!H112/'Nation Non-Social Pop Demograph'!B112)*10000)</f>
        <v/>
      </c>
      <c r="M112" s="6" t="str">
        <f>IF('Nation Non-Social Pop Demograph'!N112="", "", ('Nation-Wide Education Seg'!H112/'Nation Non-Social Pop Demograph'!N112)*10000)</f>
        <v/>
      </c>
      <c r="N112" s="6"/>
      <c r="O112" s="6"/>
      <c r="P112" s="6"/>
      <c r="Q112" s="6"/>
    </row>
    <row r="113" spans="1:17" x14ac:dyDescent="0.3">
      <c r="A113" s="6" t="s">
        <v>569</v>
      </c>
      <c r="B113" s="6"/>
      <c r="C113" s="6"/>
      <c r="D113" s="6"/>
      <c r="E113" s="6" t="str">
        <f>IF('Nation Wise Summary'!U113="", "", (C113/'Nation Wise Summary'!U113)*100)</f>
        <v/>
      </c>
      <c r="F113" s="6" t="str">
        <f>IF('Nation Non-Social Pop Demograph'!B113="", "", ('Nation-Wide Education Seg'!C113/'Nation Non-Social Pop Demograph'!B113)*10000)</f>
        <v/>
      </c>
      <c r="G113" s="6" t="str">
        <f>IF('Nation Non-Social Pop Demograph'!J113="", "", ('Nation-Wide Education Seg'!C113/'Nation Non-Social Pop Demograph'!J113)*10000)</f>
        <v/>
      </c>
      <c r="H113" s="6"/>
      <c r="I113" s="6"/>
      <c r="J113" s="6"/>
      <c r="K113" s="6" t="str">
        <f>IF('Nation Wise Summary'!U113="", "", 'Nation-Wide Education Seg'!H113/'Nation Wise Summary'!U113)</f>
        <v/>
      </c>
      <c r="L113" s="6" t="str">
        <f>IF('Nation Non-Social Pop Demograph'!B113="", "", ('Nation-Wide Education Seg'!H113/'Nation Non-Social Pop Demograph'!B113)*10000)</f>
        <v/>
      </c>
      <c r="M113" s="6" t="str">
        <f>IF('Nation Non-Social Pop Demograph'!N113="", "", ('Nation-Wide Education Seg'!H113/'Nation Non-Social Pop Demograph'!N113)*10000)</f>
        <v/>
      </c>
      <c r="N113" s="6"/>
      <c r="O113" s="6"/>
      <c r="P113" s="6"/>
      <c r="Q113" s="6"/>
    </row>
    <row r="114" spans="1:17" x14ac:dyDescent="0.3">
      <c r="A114" s="6" t="s">
        <v>570</v>
      </c>
      <c r="B114" s="6"/>
      <c r="C114" s="6"/>
      <c r="D114" s="6"/>
      <c r="E114" s="6" t="str">
        <f>IF('Nation Wise Summary'!U114="", "", (C114/'Nation Wise Summary'!U114)*100)</f>
        <v/>
      </c>
      <c r="F114" s="6" t="str">
        <f>IF('Nation Non-Social Pop Demograph'!B114="", "", ('Nation-Wide Education Seg'!C114/'Nation Non-Social Pop Demograph'!B114)*10000)</f>
        <v/>
      </c>
      <c r="G114" s="6" t="str">
        <f>IF('Nation Non-Social Pop Demograph'!J114="", "", ('Nation-Wide Education Seg'!C114/'Nation Non-Social Pop Demograph'!J114)*10000)</f>
        <v/>
      </c>
      <c r="H114" s="6"/>
      <c r="I114" s="6"/>
      <c r="J114" s="6"/>
      <c r="K114" s="6" t="str">
        <f>IF('Nation Wise Summary'!U114="", "", 'Nation-Wide Education Seg'!H114/'Nation Wise Summary'!U114)</f>
        <v/>
      </c>
      <c r="L114" s="6" t="str">
        <f>IF('Nation Non-Social Pop Demograph'!B114="", "", ('Nation-Wide Education Seg'!H114/'Nation Non-Social Pop Demograph'!B114)*10000)</f>
        <v/>
      </c>
      <c r="M114" s="6" t="str">
        <f>IF('Nation Non-Social Pop Demograph'!N114="", "", ('Nation-Wide Education Seg'!H114/'Nation Non-Social Pop Demograph'!N114)*10000)</f>
        <v/>
      </c>
      <c r="N114" s="6"/>
      <c r="O114" s="6"/>
      <c r="P114" s="6"/>
      <c r="Q114" s="6"/>
    </row>
    <row r="115" spans="1:17" x14ac:dyDescent="0.3">
      <c r="A115" s="6" t="s">
        <v>571</v>
      </c>
      <c r="B115" s="6"/>
      <c r="C115" s="6"/>
      <c r="D115" s="6"/>
      <c r="E115" s="6" t="str">
        <f>IF('Nation Wise Summary'!U115="", "", (C115/'Nation Wise Summary'!U115)*100)</f>
        <v/>
      </c>
      <c r="F115" s="6" t="str">
        <f>IF('Nation Non-Social Pop Demograph'!B115="", "", ('Nation-Wide Education Seg'!C115/'Nation Non-Social Pop Demograph'!B115)*10000)</f>
        <v/>
      </c>
      <c r="G115" s="6" t="str">
        <f>IF('Nation Non-Social Pop Demograph'!J115="", "", ('Nation-Wide Education Seg'!C115/'Nation Non-Social Pop Demograph'!J115)*10000)</f>
        <v/>
      </c>
      <c r="H115" s="6"/>
      <c r="I115" s="6"/>
      <c r="J115" s="6"/>
      <c r="K115" s="6" t="str">
        <f>IF('Nation Wise Summary'!U115="", "", 'Nation-Wide Education Seg'!H115/'Nation Wise Summary'!U115)</f>
        <v/>
      </c>
      <c r="L115" s="6" t="str">
        <f>IF('Nation Non-Social Pop Demograph'!B115="", "", ('Nation-Wide Education Seg'!H115/'Nation Non-Social Pop Demograph'!B115)*10000)</f>
        <v/>
      </c>
      <c r="M115" s="6" t="str">
        <f>IF('Nation Non-Social Pop Demograph'!N115="", "", ('Nation-Wide Education Seg'!H115/'Nation Non-Social Pop Demograph'!N115)*10000)</f>
        <v/>
      </c>
      <c r="N115" s="6"/>
      <c r="O115" s="6"/>
      <c r="P115" s="6"/>
      <c r="Q115" s="6"/>
    </row>
    <row r="116" spans="1:17" x14ac:dyDescent="0.3">
      <c r="A116" s="6" t="s">
        <v>572</v>
      </c>
      <c r="B116" s="6"/>
      <c r="C116" s="6"/>
      <c r="D116" s="6"/>
      <c r="E116" s="6" t="str">
        <f>IF('Nation Wise Summary'!U116="", "", (C116/'Nation Wise Summary'!U116)*100)</f>
        <v/>
      </c>
      <c r="F116" s="6" t="str">
        <f>IF('Nation Non-Social Pop Demograph'!B116="", "", ('Nation-Wide Education Seg'!C116/'Nation Non-Social Pop Demograph'!B116)*10000)</f>
        <v/>
      </c>
      <c r="G116" s="6" t="str">
        <f>IF('Nation Non-Social Pop Demograph'!J116="", "", ('Nation-Wide Education Seg'!C116/'Nation Non-Social Pop Demograph'!J116)*10000)</f>
        <v/>
      </c>
      <c r="H116" s="6"/>
      <c r="I116" s="6"/>
      <c r="J116" s="6"/>
      <c r="K116" s="6" t="str">
        <f>IF('Nation Wise Summary'!U116="", "", 'Nation-Wide Education Seg'!H116/'Nation Wise Summary'!U116)</f>
        <v/>
      </c>
      <c r="L116" s="6" t="str">
        <f>IF('Nation Non-Social Pop Demograph'!B116="", "", ('Nation-Wide Education Seg'!H116/'Nation Non-Social Pop Demograph'!B116)*10000)</f>
        <v/>
      </c>
      <c r="M116" s="6" t="str">
        <f>IF('Nation Non-Social Pop Demograph'!N116="", "", ('Nation-Wide Education Seg'!H116/'Nation Non-Social Pop Demograph'!N116)*10000)</f>
        <v/>
      </c>
      <c r="N116" s="6"/>
      <c r="O116" s="6"/>
      <c r="P116" s="6"/>
      <c r="Q116" s="6"/>
    </row>
    <row r="117" spans="1:17" x14ac:dyDescent="0.3">
      <c r="A117" s="6" t="s">
        <v>573</v>
      </c>
      <c r="B117" s="6"/>
      <c r="C117" s="6"/>
      <c r="D117" s="6"/>
      <c r="E117" s="6" t="str">
        <f>IF('Nation Wise Summary'!U117="", "", (C117/'Nation Wise Summary'!U117)*100)</f>
        <v/>
      </c>
      <c r="F117" s="6" t="str">
        <f>IF('Nation Non-Social Pop Demograph'!B117="", "", ('Nation-Wide Education Seg'!C117/'Nation Non-Social Pop Demograph'!B117)*10000)</f>
        <v/>
      </c>
      <c r="G117" s="6" t="str">
        <f>IF('Nation Non-Social Pop Demograph'!J117="", "", ('Nation-Wide Education Seg'!C117/'Nation Non-Social Pop Demograph'!J117)*10000)</f>
        <v/>
      </c>
      <c r="H117" s="6"/>
      <c r="I117" s="6"/>
      <c r="J117" s="6"/>
      <c r="K117" s="6" t="str">
        <f>IF('Nation Wise Summary'!U117="", "", 'Nation-Wide Education Seg'!H117/'Nation Wise Summary'!U117)</f>
        <v/>
      </c>
      <c r="L117" s="6" t="str">
        <f>IF('Nation Non-Social Pop Demograph'!B117="", "", ('Nation-Wide Education Seg'!H117/'Nation Non-Social Pop Demograph'!B117)*10000)</f>
        <v/>
      </c>
      <c r="M117" s="6" t="str">
        <f>IF('Nation Non-Social Pop Demograph'!N117="", "", ('Nation-Wide Education Seg'!H117/'Nation Non-Social Pop Demograph'!N117)*10000)</f>
        <v/>
      </c>
      <c r="N117" s="6"/>
      <c r="O117" s="6"/>
      <c r="P117" s="6"/>
      <c r="Q117" s="6"/>
    </row>
    <row r="118" spans="1:17" x14ac:dyDescent="0.3">
      <c r="A118" s="6" t="s">
        <v>574</v>
      </c>
      <c r="B118" s="6"/>
      <c r="C118" s="6"/>
      <c r="D118" s="6"/>
      <c r="E118" s="6" t="str">
        <f>IF('Nation Wise Summary'!U118="", "", (C118/'Nation Wise Summary'!U118)*100)</f>
        <v/>
      </c>
      <c r="F118" s="6" t="str">
        <f>IF('Nation Non-Social Pop Demograph'!B118="", "", ('Nation-Wide Education Seg'!C118/'Nation Non-Social Pop Demograph'!B118)*10000)</f>
        <v/>
      </c>
      <c r="G118" s="6" t="str">
        <f>IF('Nation Non-Social Pop Demograph'!J118="", "", ('Nation-Wide Education Seg'!C118/'Nation Non-Social Pop Demograph'!J118)*10000)</f>
        <v/>
      </c>
      <c r="H118" s="6"/>
      <c r="I118" s="6"/>
      <c r="J118" s="6"/>
      <c r="K118" s="6" t="str">
        <f>IF('Nation Wise Summary'!U118="", "", 'Nation-Wide Education Seg'!H118/'Nation Wise Summary'!U118)</f>
        <v/>
      </c>
      <c r="L118" s="6" t="str">
        <f>IF('Nation Non-Social Pop Demograph'!B118="", "", ('Nation-Wide Education Seg'!H118/'Nation Non-Social Pop Demograph'!B118)*10000)</f>
        <v/>
      </c>
      <c r="M118" s="6" t="str">
        <f>IF('Nation Non-Social Pop Demograph'!N118="", "", ('Nation-Wide Education Seg'!H118/'Nation Non-Social Pop Demograph'!N118)*10000)</f>
        <v/>
      </c>
      <c r="N118" s="6"/>
      <c r="O118" s="6"/>
      <c r="P118" s="6"/>
      <c r="Q118" s="6"/>
    </row>
    <row r="119" spans="1:17" x14ac:dyDescent="0.3">
      <c r="A119" s="6" t="s">
        <v>313</v>
      </c>
      <c r="B119" s="6"/>
      <c r="C119" s="6"/>
      <c r="D119" s="6"/>
      <c r="E119" s="6" t="str">
        <f>IF('Nation Wise Summary'!U119="", "", (C119/'Nation Wise Summary'!U119)*100)</f>
        <v/>
      </c>
      <c r="F119" s="6" t="str">
        <f>IF('Nation Non-Social Pop Demograph'!B119="", "", ('Nation-Wide Education Seg'!C119/'Nation Non-Social Pop Demograph'!B119)*10000)</f>
        <v/>
      </c>
      <c r="G119" s="6" t="str">
        <f>IF('Nation Non-Social Pop Demograph'!J119="", "", ('Nation-Wide Education Seg'!C119/'Nation Non-Social Pop Demograph'!J119)*10000)</f>
        <v/>
      </c>
      <c r="H119" s="6"/>
      <c r="I119" s="6"/>
      <c r="J119" s="6"/>
      <c r="K119" s="6" t="str">
        <f>IF('Nation Wise Summary'!U119="", "", 'Nation-Wide Education Seg'!H119/'Nation Wise Summary'!U119)</f>
        <v/>
      </c>
      <c r="L119" s="6" t="str">
        <f>IF('Nation Non-Social Pop Demograph'!B119="", "", ('Nation-Wide Education Seg'!H119/'Nation Non-Social Pop Demograph'!B119)*10000)</f>
        <v/>
      </c>
      <c r="M119" s="6" t="str">
        <f>IF('Nation Non-Social Pop Demograph'!N119="", "", ('Nation-Wide Education Seg'!H119/'Nation Non-Social Pop Demograph'!N119)*10000)</f>
        <v/>
      </c>
      <c r="N119" s="6"/>
      <c r="O119" s="6"/>
      <c r="P119" s="6"/>
      <c r="Q119" s="6"/>
    </row>
    <row r="120" spans="1:17" x14ac:dyDescent="0.3">
      <c r="A120" s="6" t="s">
        <v>388</v>
      </c>
      <c r="B120" s="6"/>
      <c r="C120" s="6"/>
      <c r="D120" s="6"/>
      <c r="E120" s="6" t="str">
        <f>IF('Nation Wise Summary'!U120="", "", (C120/'Nation Wise Summary'!U120)*100)</f>
        <v/>
      </c>
      <c r="F120" s="6" t="str">
        <f>IF('Nation Non-Social Pop Demograph'!B120="", "", ('Nation-Wide Education Seg'!C120/'Nation Non-Social Pop Demograph'!B120)*10000)</f>
        <v/>
      </c>
      <c r="G120" s="6" t="str">
        <f>IF('Nation Non-Social Pop Demograph'!J120="", "", ('Nation-Wide Education Seg'!C120/'Nation Non-Social Pop Demograph'!J120)*10000)</f>
        <v/>
      </c>
      <c r="H120" s="6"/>
      <c r="I120" s="6"/>
      <c r="J120" s="6"/>
      <c r="K120" s="6" t="str">
        <f>IF('Nation Wise Summary'!U120="", "", 'Nation-Wide Education Seg'!H120/'Nation Wise Summary'!U120)</f>
        <v/>
      </c>
      <c r="L120" s="6" t="str">
        <f>IF('Nation Non-Social Pop Demograph'!B120="", "", ('Nation-Wide Education Seg'!H120/'Nation Non-Social Pop Demograph'!B120)*10000)</f>
        <v/>
      </c>
      <c r="M120" s="6" t="str">
        <f>IF('Nation Non-Social Pop Demograph'!N120="", "", ('Nation-Wide Education Seg'!H120/'Nation Non-Social Pop Demograph'!N120)*10000)</f>
        <v/>
      </c>
      <c r="N120" s="6"/>
      <c r="O120" s="6"/>
      <c r="P120" s="6"/>
      <c r="Q120" s="6"/>
    </row>
    <row r="121" spans="1:17" x14ac:dyDescent="0.3">
      <c r="A121" s="6" t="s">
        <v>575</v>
      </c>
      <c r="B121" s="6"/>
      <c r="C121" s="6"/>
      <c r="D121" s="6"/>
      <c r="E121" s="6" t="str">
        <f>IF('Nation Wise Summary'!U121="", "", (C121/'Nation Wise Summary'!U121)*100)</f>
        <v/>
      </c>
      <c r="F121" s="6" t="str">
        <f>IF('Nation Non-Social Pop Demograph'!B121="", "", ('Nation-Wide Education Seg'!C121/'Nation Non-Social Pop Demograph'!B121)*10000)</f>
        <v/>
      </c>
      <c r="G121" s="6" t="str">
        <f>IF('Nation Non-Social Pop Demograph'!J121="", "", ('Nation-Wide Education Seg'!C121/'Nation Non-Social Pop Demograph'!J121)*10000)</f>
        <v/>
      </c>
      <c r="H121" s="6"/>
      <c r="I121" s="6"/>
      <c r="J121" s="6"/>
      <c r="K121" s="6" t="str">
        <f>IF('Nation Wise Summary'!U121="", "", 'Nation-Wide Education Seg'!H121/'Nation Wise Summary'!U121)</f>
        <v/>
      </c>
      <c r="L121" s="6" t="str">
        <f>IF('Nation Non-Social Pop Demograph'!B121="", "", ('Nation-Wide Education Seg'!H121/'Nation Non-Social Pop Demograph'!B121)*10000)</f>
        <v/>
      </c>
      <c r="M121" s="6" t="str">
        <f>IF('Nation Non-Social Pop Demograph'!N121="", "", ('Nation-Wide Education Seg'!H121/'Nation Non-Social Pop Demograph'!N121)*10000)</f>
        <v/>
      </c>
      <c r="N121" s="6"/>
      <c r="O121" s="6"/>
      <c r="P121" s="6"/>
      <c r="Q121" s="6"/>
    </row>
    <row r="122" spans="1:17" x14ac:dyDescent="0.3">
      <c r="A122" s="6" t="s">
        <v>576</v>
      </c>
      <c r="B122" s="6"/>
      <c r="C122" s="6"/>
      <c r="D122" s="6"/>
      <c r="E122" s="6" t="str">
        <f>IF('Nation Wise Summary'!U122="", "", (C122/'Nation Wise Summary'!U122)*100)</f>
        <v/>
      </c>
      <c r="F122" s="6" t="str">
        <f>IF('Nation Non-Social Pop Demograph'!B122="", "", ('Nation-Wide Education Seg'!C122/'Nation Non-Social Pop Demograph'!B122)*10000)</f>
        <v/>
      </c>
      <c r="G122" s="6" t="str">
        <f>IF('Nation Non-Social Pop Demograph'!J122="", "", ('Nation-Wide Education Seg'!C122/'Nation Non-Social Pop Demograph'!J122)*10000)</f>
        <v/>
      </c>
      <c r="H122" s="6"/>
      <c r="I122" s="6"/>
      <c r="J122" s="6"/>
      <c r="K122" s="6" t="str">
        <f>IF('Nation Wise Summary'!U122="", "", 'Nation-Wide Education Seg'!H122/'Nation Wise Summary'!U122)</f>
        <v/>
      </c>
      <c r="L122" s="6" t="str">
        <f>IF('Nation Non-Social Pop Demograph'!B122="", "", ('Nation-Wide Education Seg'!H122/'Nation Non-Social Pop Demograph'!B122)*10000)</f>
        <v/>
      </c>
      <c r="M122" s="6" t="str">
        <f>IF('Nation Non-Social Pop Demograph'!N122="", "", ('Nation-Wide Education Seg'!H122/'Nation Non-Social Pop Demograph'!N122)*10000)</f>
        <v/>
      </c>
      <c r="N122" s="6"/>
      <c r="O122" s="6"/>
      <c r="P122" s="6"/>
      <c r="Q122" s="6"/>
    </row>
    <row r="123" spans="1:17" x14ac:dyDescent="0.3">
      <c r="A123" s="6" t="s">
        <v>577</v>
      </c>
      <c r="B123" s="6"/>
      <c r="C123" s="6"/>
      <c r="D123" s="6"/>
      <c r="E123" s="6" t="str">
        <f>IF('Nation Wise Summary'!U123="", "", (C123/'Nation Wise Summary'!U123)*100)</f>
        <v/>
      </c>
      <c r="F123" s="6" t="str">
        <f>IF('Nation Non-Social Pop Demograph'!B123="", "", ('Nation-Wide Education Seg'!C123/'Nation Non-Social Pop Demograph'!B123)*10000)</f>
        <v/>
      </c>
      <c r="G123" s="6" t="str">
        <f>IF('Nation Non-Social Pop Demograph'!J123="", "", ('Nation-Wide Education Seg'!C123/'Nation Non-Social Pop Demograph'!J123)*10000)</f>
        <v/>
      </c>
      <c r="H123" s="6"/>
      <c r="I123" s="6"/>
      <c r="J123" s="6"/>
      <c r="K123" s="6" t="str">
        <f>IF('Nation Wise Summary'!U123="", "", 'Nation-Wide Education Seg'!H123/'Nation Wise Summary'!U123)</f>
        <v/>
      </c>
      <c r="L123" s="6" t="str">
        <f>IF('Nation Non-Social Pop Demograph'!B123="", "", ('Nation-Wide Education Seg'!H123/'Nation Non-Social Pop Demograph'!B123)*10000)</f>
        <v/>
      </c>
      <c r="M123" s="6" t="str">
        <f>IF('Nation Non-Social Pop Demograph'!N123="", "", ('Nation-Wide Education Seg'!H123/'Nation Non-Social Pop Demograph'!N123)*10000)</f>
        <v/>
      </c>
      <c r="N123" s="6"/>
      <c r="O123" s="6"/>
      <c r="P123" s="6"/>
      <c r="Q123" s="6"/>
    </row>
    <row r="124" spans="1:17" x14ac:dyDescent="0.3">
      <c r="A124" s="6" t="s">
        <v>69</v>
      </c>
      <c r="B124" s="6"/>
      <c r="C124" s="6"/>
      <c r="D124" s="6"/>
      <c r="E124" s="6" t="str">
        <f>IF('Nation Wise Summary'!U124="", "", (C124/'Nation Wise Summary'!U124)*100)</f>
        <v/>
      </c>
      <c r="F124" s="6" t="str">
        <f>IF('Nation Non-Social Pop Demograph'!B124="", "", ('Nation-Wide Education Seg'!C124/'Nation Non-Social Pop Demograph'!B124)*10000)</f>
        <v/>
      </c>
      <c r="G124" s="6" t="str">
        <f>IF('Nation Non-Social Pop Demograph'!J124="", "", ('Nation-Wide Education Seg'!C124/'Nation Non-Social Pop Demograph'!J124)*10000)</f>
        <v/>
      </c>
      <c r="H124" s="6"/>
      <c r="I124" s="6"/>
      <c r="J124" s="6"/>
      <c r="K124" s="6" t="str">
        <f>IF('Nation Wise Summary'!U124="", "", 'Nation-Wide Education Seg'!H124/'Nation Wise Summary'!U124)</f>
        <v/>
      </c>
      <c r="L124" s="6" t="str">
        <f>IF('Nation Non-Social Pop Demograph'!B124="", "", ('Nation-Wide Education Seg'!H124/'Nation Non-Social Pop Demograph'!B124)*10000)</f>
        <v/>
      </c>
      <c r="M124" s="6" t="str">
        <f>IF('Nation Non-Social Pop Demograph'!N124="", "", ('Nation-Wide Education Seg'!H124/'Nation Non-Social Pop Demograph'!N124)*10000)</f>
        <v/>
      </c>
      <c r="N124" s="6"/>
      <c r="O124" s="6"/>
      <c r="P124" s="6"/>
      <c r="Q124" s="6"/>
    </row>
    <row r="125" spans="1:17" x14ac:dyDescent="0.3">
      <c r="A125" s="6" t="s">
        <v>578</v>
      </c>
      <c r="B125" s="6"/>
      <c r="C125" s="6"/>
      <c r="D125" s="6"/>
      <c r="E125" s="6" t="str">
        <f>IF('Nation Wise Summary'!U125="", "", (C125/'Nation Wise Summary'!U125)*100)</f>
        <v/>
      </c>
      <c r="F125" s="6" t="str">
        <f>IF('Nation Non-Social Pop Demograph'!B125="", "", ('Nation-Wide Education Seg'!C125/'Nation Non-Social Pop Demograph'!B125)*10000)</f>
        <v/>
      </c>
      <c r="G125" s="6" t="str">
        <f>IF('Nation Non-Social Pop Demograph'!J125="", "", ('Nation-Wide Education Seg'!C125/'Nation Non-Social Pop Demograph'!J125)*10000)</f>
        <v/>
      </c>
      <c r="H125" s="6"/>
      <c r="I125" s="6"/>
      <c r="J125" s="6"/>
      <c r="K125" s="6" t="str">
        <f>IF('Nation Wise Summary'!U125="", "", 'Nation-Wide Education Seg'!H125/'Nation Wise Summary'!U125)</f>
        <v/>
      </c>
      <c r="L125" s="6" t="str">
        <f>IF('Nation Non-Social Pop Demograph'!B125="", "", ('Nation-Wide Education Seg'!H125/'Nation Non-Social Pop Demograph'!B125)*10000)</f>
        <v/>
      </c>
      <c r="M125" s="6" t="str">
        <f>IF('Nation Non-Social Pop Demograph'!N125="", "", ('Nation-Wide Education Seg'!H125/'Nation Non-Social Pop Demograph'!N125)*10000)</f>
        <v/>
      </c>
      <c r="N125" s="6"/>
      <c r="O125" s="6"/>
      <c r="P125" s="6"/>
      <c r="Q125" s="6"/>
    </row>
    <row r="126" spans="1:17" x14ac:dyDescent="0.3">
      <c r="A126" s="6" t="s">
        <v>579</v>
      </c>
      <c r="B126" s="6"/>
      <c r="C126" s="6"/>
      <c r="D126" s="6"/>
      <c r="E126" s="6" t="str">
        <f>IF('Nation Wise Summary'!U126="", "", (C126/'Nation Wise Summary'!U126)*100)</f>
        <v/>
      </c>
      <c r="F126" s="6" t="str">
        <f>IF('Nation Non-Social Pop Demograph'!B126="", "", ('Nation-Wide Education Seg'!C126/'Nation Non-Social Pop Demograph'!B126)*10000)</f>
        <v/>
      </c>
      <c r="G126" s="6" t="str">
        <f>IF('Nation Non-Social Pop Demograph'!J126="", "", ('Nation-Wide Education Seg'!C126/'Nation Non-Social Pop Demograph'!J126)*10000)</f>
        <v/>
      </c>
      <c r="H126" s="6"/>
      <c r="I126" s="6"/>
      <c r="J126" s="6"/>
      <c r="K126" s="6" t="str">
        <f>IF('Nation Wise Summary'!U126="", "", 'Nation-Wide Education Seg'!H126/'Nation Wise Summary'!U126)</f>
        <v/>
      </c>
      <c r="L126" s="6" t="str">
        <f>IF('Nation Non-Social Pop Demograph'!B126="", "", ('Nation-Wide Education Seg'!H126/'Nation Non-Social Pop Demograph'!B126)*10000)</f>
        <v/>
      </c>
      <c r="M126" s="6" t="str">
        <f>IF('Nation Non-Social Pop Demograph'!N126="", "", ('Nation-Wide Education Seg'!H126/'Nation Non-Social Pop Demograph'!N126)*10000)</f>
        <v/>
      </c>
      <c r="N126" s="6"/>
      <c r="O126" s="6"/>
      <c r="P126" s="6"/>
      <c r="Q126" s="6"/>
    </row>
    <row r="127" spans="1:17" x14ac:dyDescent="0.3">
      <c r="A127" s="6" t="s">
        <v>580</v>
      </c>
      <c r="B127" s="6"/>
      <c r="C127" s="6"/>
      <c r="D127" s="6"/>
      <c r="E127" s="6" t="str">
        <f>IF('Nation Wise Summary'!U127="", "", (C127/'Nation Wise Summary'!U127)*100)</f>
        <v/>
      </c>
      <c r="F127" s="6" t="str">
        <f>IF('Nation Non-Social Pop Demograph'!B127="", "", ('Nation-Wide Education Seg'!C127/'Nation Non-Social Pop Demograph'!B127)*10000)</f>
        <v/>
      </c>
      <c r="G127" s="6" t="str">
        <f>IF('Nation Non-Social Pop Demograph'!J127="", "", ('Nation-Wide Education Seg'!C127/'Nation Non-Social Pop Demograph'!J127)*10000)</f>
        <v/>
      </c>
      <c r="H127" s="6"/>
      <c r="I127" s="6"/>
      <c r="J127" s="6"/>
      <c r="K127" s="6" t="str">
        <f>IF('Nation Wise Summary'!U127="", "", 'Nation-Wide Education Seg'!H127/'Nation Wise Summary'!U127)</f>
        <v/>
      </c>
      <c r="L127" s="6" t="str">
        <f>IF('Nation Non-Social Pop Demograph'!B127="", "", ('Nation-Wide Education Seg'!H127/'Nation Non-Social Pop Demograph'!B127)*10000)</f>
        <v/>
      </c>
      <c r="M127" s="6" t="str">
        <f>IF('Nation Non-Social Pop Demograph'!N127="", "", ('Nation-Wide Education Seg'!H127/'Nation Non-Social Pop Demograph'!N127)*10000)</f>
        <v/>
      </c>
      <c r="N127" s="6"/>
      <c r="O127" s="6"/>
      <c r="P127" s="6"/>
      <c r="Q127" s="6"/>
    </row>
    <row r="128" spans="1:17" x14ac:dyDescent="0.3">
      <c r="A128" s="6" t="s">
        <v>581</v>
      </c>
      <c r="B128" s="6"/>
      <c r="C128" s="6"/>
      <c r="D128" s="6"/>
      <c r="E128" s="6" t="str">
        <f>IF('Nation Wise Summary'!U128="", "", (C128/'Nation Wise Summary'!U128)*100)</f>
        <v/>
      </c>
      <c r="F128" s="6" t="str">
        <f>IF('Nation Non-Social Pop Demograph'!B128="", "", ('Nation-Wide Education Seg'!C128/'Nation Non-Social Pop Demograph'!B128)*10000)</f>
        <v/>
      </c>
      <c r="G128" s="6" t="str">
        <f>IF('Nation Non-Social Pop Demograph'!J128="", "", ('Nation-Wide Education Seg'!C128/'Nation Non-Social Pop Demograph'!J128)*10000)</f>
        <v/>
      </c>
      <c r="H128" s="6"/>
      <c r="I128" s="6"/>
      <c r="J128" s="6"/>
      <c r="K128" s="6" t="str">
        <f>IF('Nation Wise Summary'!U128="", "", 'Nation-Wide Education Seg'!H128/'Nation Wise Summary'!U128)</f>
        <v/>
      </c>
      <c r="L128" s="6" t="str">
        <f>IF('Nation Non-Social Pop Demograph'!B128="", "", ('Nation-Wide Education Seg'!H128/'Nation Non-Social Pop Demograph'!B128)*10000)</f>
        <v/>
      </c>
      <c r="M128" s="6" t="str">
        <f>IF('Nation Non-Social Pop Demograph'!N128="", "", ('Nation-Wide Education Seg'!H128/'Nation Non-Social Pop Demograph'!N128)*10000)</f>
        <v/>
      </c>
      <c r="N128" s="6"/>
      <c r="O128" s="6"/>
      <c r="P128" s="6"/>
      <c r="Q128" s="6"/>
    </row>
    <row r="129" spans="1:17" x14ac:dyDescent="0.3">
      <c r="A129" s="6" t="s">
        <v>582</v>
      </c>
      <c r="B129" s="6"/>
      <c r="C129" s="6"/>
      <c r="D129" s="6"/>
      <c r="E129" s="6" t="str">
        <f>IF('Nation Wise Summary'!U129="", "", (C129/'Nation Wise Summary'!U129)*100)</f>
        <v/>
      </c>
      <c r="F129" s="6" t="str">
        <f>IF('Nation Non-Social Pop Demograph'!B129="", "", ('Nation-Wide Education Seg'!C129/'Nation Non-Social Pop Demograph'!B129)*10000)</f>
        <v/>
      </c>
      <c r="G129" s="6" t="str">
        <f>IF('Nation Non-Social Pop Demograph'!J129="", "", ('Nation-Wide Education Seg'!C129/'Nation Non-Social Pop Demograph'!J129)*10000)</f>
        <v/>
      </c>
      <c r="H129" s="6"/>
      <c r="I129" s="6"/>
      <c r="J129" s="6"/>
      <c r="K129" s="6" t="str">
        <f>IF('Nation Wise Summary'!U129="", "", 'Nation-Wide Education Seg'!H129/'Nation Wise Summary'!U129)</f>
        <v/>
      </c>
      <c r="L129" s="6" t="str">
        <f>IF('Nation Non-Social Pop Demograph'!B129="", "", ('Nation-Wide Education Seg'!H129/'Nation Non-Social Pop Demograph'!B129)*10000)</f>
        <v/>
      </c>
      <c r="M129" s="6" t="str">
        <f>IF('Nation Non-Social Pop Demograph'!N129="", "", ('Nation-Wide Education Seg'!H129/'Nation Non-Social Pop Demograph'!N129)*10000)</f>
        <v/>
      </c>
      <c r="N129" s="6"/>
      <c r="O129" s="6"/>
      <c r="P129" s="6"/>
      <c r="Q129" s="6"/>
    </row>
    <row r="130" spans="1:17" x14ac:dyDescent="0.3">
      <c r="A130" s="6" t="s">
        <v>583</v>
      </c>
      <c r="B130" s="6"/>
      <c r="C130" s="6"/>
      <c r="D130" s="6"/>
      <c r="E130" s="6" t="str">
        <f>IF('Nation Wise Summary'!U130="", "", (C130/'Nation Wise Summary'!U130)*100)</f>
        <v/>
      </c>
      <c r="F130" s="6" t="str">
        <f>IF('Nation Non-Social Pop Demograph'!B130="", "", ('Nation-Wide Education Seg'!C130/'Nation Non-Social Pop Demograph'!B130)*10000)</f>
        <v/>
      </c>
      <c r="G130" s="6" t="str">
        <f>IF('Nation Non-Social Pop Demograph'!J130="", "", ('Nation-Wide Education Seg'!C130/'Nation Non-Social Pop Demograph'!J130)*10000)</f>
        <v/>
      </c>
      <c r="H130" s="6"/>
      <c r="I130" s="6"/>
      <c r="J130" s="6"/>
      <c r="K130" s="6" t="str">
        <f>IF('Nation Wise Summary'!U130="", "", 'Nation-Wide Education Seg'!H130/'Nation Wise Summary'!U130)</f>
        <v/>
      </c>
      <c r="L130" s="6" t="str">
        <f>IF('Nation Non-Social Pop Demograph'!B130="", "", ('Nation-Wide Education Seg'!H130/'Nation Non-Social Pop Demograph'!B130)*10000)</f>
        <v/>
      </c>
      <c r="M130" s="6" t="str">
        <f>IF('Nation Non-Social Pop Demograph'!N130="", "", ('Nation-Wide Education Seg'!H130/'Nation Non-Social Pop Demograph'!N130)*10000)</f>
        <v/>
      </c>
      <c r="N130" s="6"/>
      <c r="O130" s="6"/>
      <c r="P130" s="6"/>
      <c r="Q130" s="6"/>
    </row>
    <row r="131" spans="1:17" x14ac:dyDescent="0.3">
      <c r="A131" s="6" t="s">
        <v>584</v>
      </c>
      <c r="B131" s="6"/>
      <c r="C131" s="6"/>
      <c r="D131" s="6"/>
      <c r="E131" s="6" t="str">
        <f>IF('Nation Wise Summary'!U131="", "", (C131/'Nation Wise Summary'!U131)*100)</f>
        <v/>
      </c>
      <c r="F131" s="6" t="str">
        <f>IF('Nation Non-Social Pop Demograph'!B131="", "", ('Nation-Wide Education Seg'!C131/'Nation Non-Social Pop Demograph'!B131)*10000)</f>
        <v/>
      </c>
      <c r="G131" s="6" t="str">
        <f>IF('Nation Non-Social Pop Demograph'!J131="", "", ('Nation-Wide Education Seg'!C131/'Nation Non-Social Pop Demograph'!J131)*10000)</f>
        <v/>
      </c>
      <c r="H131" s="6"/>
      <c r="I131" s="6"/>
      <c r="J131" s="6"/>
      <c r="K131" s="6" t="str">
        <f>IF('Nation Wise Summary'!U131="", "", 'Nation-Wide Education Seg'!H131/'Nation Wise Summary'!U131)</f>
        <v/>
      </c>
      <c r="L131" s="6" t="str">
        <f>IF('Nation Non-Social Pop Demograph'!B131="", "", ('Nation-Wide Education Seg'!H131/'Nation Non-Social Pop Demograph'!B131)*10000)</f>
        <v/>
      </c>
      <c r="M131" s="6" t="str">
        <f>IF('Nation Non-Social Pop Demograph'!N131="", "", ('Nation-Wide Education Seg'!H131/'Nation Non-Social Pop Demograph'!N131)*10000)</f>
        <v/>
      </c>
      <c r="N131" s="6"/>
      <c r="O131" s="6"/>
      <c r="P131" s="6"/>
      <c r="Q131" s="6"/>
    </row>
    <row r="132" spans="1:17" x14ac:dyDescent="0.3">
      <c r="A132" s="6" t="s">
        <v>585</v>
      </c>
      <c r="B132" s="6"/>
      <c r="C132" s="6"/>
      <c r="D132" s="6"/>
      <c r="E132" s="6" t="str">
        <f>IF('Nation Wise Summary'!U132="", "", (C132/'Nation Wise Summary'!U132)*100)</f>
        <v/>
      </c>
      <c r="F132" s="6" t="str">
        <f>IF('Nation Non-Social Pop Demograph'!B132="", "", ('Nation-Wide Education Seg'!C132/'Nation Non-Social Pop Demograph'!B132)*10000)</f>
        <v/>
      </c>
      <c r="G132" s="6" t="str">
        <f>IF('Nation Non-Social Pop Demograph'!J132="", "", ('Nation-Wide Education Seg'!C132/'Nation Non-Social Pop Demograph'!J132)*10000)</f>
        <v/>
      </c>
      <c r="H132" s="6"/>
      <c r="I132" s="6"/>
      <c r="J132" s="6"/>
      <c r="K132" s="6" t="str">
        <f>IF('Nation Wise Summary'!U132="", "", 'Nation-Wide Education Seg'!H132/'Nation Wise Summary'!U132)</f>
        <v/>
      </c>
      <c r="L132" s="6" t="str">
        <f>IF('Nation Non-Social Pop Demograph'!B132="", "", ('Nation-Wide Education Seg'!H132/'Nation Non-Social Pop Demograph'!B132)*10000)</f>
        <v/>
      </c>
      <c r="M132" s="6" t="str">
        <f>IF('Nation Non-Social Pop Demograph'!N132="", "", ('Nation-Wide Education Seg'!H132/'Nation Non-Social Pop Demograph'!N132)*10000)</f>
        <v/>
      </c>
      <c r="N132" s="6"/>
      <c r="O132" s="6"/>
      <c r="P132" s="6"/>
      <c r="Q132" s="6"/>
    </row>
    <row r="133" spans="1:17" x14ac:dyDescent="0.3">
      <c r="A133" s="6" t="s">
        <v>586</v>
      </c>
      <c r="B133" s="6"/>
      <c r="C133" s="6"/>
      <c r="D133" s="6"/>
      <c r="E133" s="6" t="str">
        <f>IF('Nation Wise Summary'!U133="", "", (C133/'Nation Wise Summary'!U133)*100)</f>
        <v/>
      </c>
      <c r="F133" s="6" t="str">
        <f>IF('Nation Non-Social Pop Demograph'!B133="", "", ('Nation-Wide Education Seg'!C133/'Nation Non-Social Pop Demograph'!B133)*10000)</f>
        <v/>
      </c>
      <c r="G133" s="6" t="str">
        <f>IF('Nation Non-Social Pop Demograph'!J133="", "", ('Nation-Wide Education Seg'!C133/'Nation Non-Social Pop Demograph'!J133)*10000)</f>
        <v/>
      </c>
      <c r="H133" s="6"/>
      <c r="I133" s="6"/>
      <c r="J133" s="6"/>
      <c r="K133" s="6" t="str">
        <f>IF('Nation Wise Summary'!U133="", "", 'Nation-Wide Education Seg'!H133/'Nation Wise Summary'!U133)</f>
        <v/>
      </c>
      <c r="L133" s="6" t="str">
        <f>IF('Nation Non-Social Pop Demograph'!B133="", "", ('Nation-Wide Education Seg'!H133/'Nation Non-Social Pop Demograph'!B133)*10000)</f>
        <v/>
      </c>
      <c r="M133" s="6" t="str">
        <f>IF('Nation Non-Social Pop Demograph'!N133="", "", ('Nation-Wide Education Seg'!H133/'Nation Non-Social Pop Demograph'!N133)*10000)</f>
        <v/>
      </c>
      <c r="N133" s="6"/>
      <c r="O133" s="6"/>
      <c r="P133" s="6"/>
      <c r="Q133" s="6"/>
    </row>
    <row r="134" spans="1:17" x14ac:dyDescent="0.3">
      <c r="A134" s="6" t="s">
        <v>587</v>
      </c>
      <c r="B134" s="6"/>
      <c r="C134" s="6"/>
      <c r="D134" s="6"/>
      <c r="E134" s="6" t="str">
        <f>IF('Nation Wise Summary'!U134="", "", (C134/'Nation Wise Summary'!U134)*100)</f>
        <v/>
      </c>
      <c r="F134" s="6" t="str">
        <f>IF('Nation Non-Social Pop Demograph'!B134="", "", ('Nation-Wide Education Seg'!C134/'Nation Non-Social Pop Demograph'!B134)*10000)</f>
        <v/>
      </c>
      <c r="G134" s="6" t="str">
        <f>IF('Nation Non-Social Pop Demograph'!J134="", "", ('Nation-Wide Education Seg'!C134/'Nation Non-Social Pop Demograph'!J134)*10000)</f>
        <v/>
      </c>
      <c r="H134" s="6"/>
      <c r="I134" s="6"/>
      <c r="J134" s="6"/>
      <c r="K134" s="6" t="str">
        <f>IF('Nation Wise Summary'!U134="", "", 'Nation-Wide Education Seg'!H134/'Nation Wise Summary'!U134)</f>
        <v/>
      </c>
      <c r="L134" s="6" t="str">
        <f>IF('Nation Non-Social Pop Demograph'!B134="", "", ('Nation-Wide Education Seg'!H134/'Nation Non-Social Pop Demograph'!B134)*10000)</f>
        <v/>
      </c>
      <c r="M134" s="6" t="str">
        <f>IF('Nation Non-Social Pop Demograph'!N134="", "", ('Nation-Wide Education Seg'!H134/'Nation Non-Social Pop Demograph'!N134)*10000)</f>
        <v/>
      </c>
      <c r="N134" s="6"/>
      <c r="O134" s="6"/>
      <c r="P134" s="6"/>
      <c r="Q134" s="6"/>
    </row>
    <row r="135" spans="1:17" x14ac:dyDescent="0.3">
      <c r="A135" s="6" t="s">
        <v>588</v>
      </c>
      <c r="B135" s="6"/>
      <c r="C135" s="6"/>
      <c r="D135" s="6"/>
      <c r="E135" s="6" t="str">
        <f>IF('Nation Wise Summary'!U135="", "", (C135/'Nation Wise Summary'!U135)*100)</f>
        <v/>
      </c>
      <c r="F135" s="6" t="str">
        <f>IF('Nation Non-Social Pop Demograph'!B135="", "", ('Nation-Wide Education Seg'!C135/'Nation Non-Social Pop Demograph'!B135)*10000)</f>
        <v/>
      </c>
      <c r="G135" s="6" t="str">
        <f>IF('Nation Non-Social Pop Demograph'!J135="", "", ('Nation-Wide Education Seg'!C135/'Nation Non-Social Pop Demograph'!J135)*10000)</f>
        <v/>
      </c>
      <c r="H135" s="6"/>
      <c r="I135" s="6"/>
      <c r="J135" s="6"/>
      <c r="K135" s="6" t="str">
        <f>IF('Nation Wise Summary'!U135="", "", 'Nation-Wide Education Seg'!H135/'Nation Wise Summary'!U135)</f>
        <v/>
      </c>
      <c r="L135" s="6" t="str">
        <f>IF('Nation Non-Social Pop Demograph'!B135="", "", ('Nation-Wide Education Seg'!H135/'Nation Non-Social Pop Demograph'!B135)*10000)</f>
        <v/>
      </c>
      <c r="M135" s="6" t="str">
        <f>IF('Nation Non-Social Pop Demograph'!N135="", "", ('Nation-Wide Education Seg'!H135/'Nation Non-Social Pop Demograph'!N135)*10000)</f>
        <v/>
      </c>
      <c r="N135" s="6"/>
      <c r="O135" s="6"/>
      <c r="P135" s="6"/>
      <c r="Q135" s="6"/>
    </row>
    <row r="136" spans="1:17" x14ac:dyDescent="0.3">
      <c r="A136" s="6" t="s">
        <v>589</v>
      </c>
      <c r="B136" s="6"/>
      <c r="C136" s="6"/>
      <c r="D136" s="6"/>
      <c r="E136" s="6" t="str">
        <f>IF('Nation Wise Summary'!U136="", "", (C136/'Nation Wise Summary'!U136)*100)</f>
        <v/>
      </c>
      <c r="F136" s="6" t="str">
        <f>IF('Nation Non-Social Pop Demograph'!B136="", "", ('Nation-Wide Education Seg'!C136/'Nation Non-Social Pop Demograph'!B136)*10000)</f>
        <v/>
      </c>
      <c r="G136" s="6" t="str">
        <f>IF('Nation Non-Social Pop Demograph'!J136="", "", ('Nation-Wide Education Seg'!C136/'Nation Non-Social Pop Demograph'!J136)*10000)</f>
        <v/>
      </c>
      <c r="H136" s="6"/>
      <c r="I136" s="6"/>
      <c r="J136" s="6"/>
      <c r="K136" s="6" t="str">
        <f>IF('Nation Wise Summary'!U136="", "", 'Nation-Wide Education Seg'!H136/'Nation Wise Summary'!U136)</f>
        <v/>
      </c>
      <c r="L136" s="6" t="str">
        <f>IF('Nation Non-Social Pop Demograph'!B136="", "", ('Nation-Wide Education Seg'!H136/'Nation Non-Social Pop Demograph'!B136)*10000)</f>
        <v/>
      </c>
      <c r="M136" s="6" t="str">
        <f>IF('Nation Non-Social Pop Demograph'!N136="", "", ('Nation-Wide Education Seg'!H136/'Nation Non-Social Pop Demograph'!N136)*10000)</f>
        <v/>
      </c>
      <c r="N136" s="6"/>
      <c r="O136" s="6"/>
      <c r="P136" s="6"/>
      <c r="Q136" s="6"/>
    </row>
    <row r="137" spans="1:17" x14ac:dyDescent="0.3">
      <c r="A137" s="6" t="s">
        <v>590</v>
      </c>
      <c r="B137" s="6"/>
      <c r="C137" s="6"/>
      <c r="D137" s="6"/>
      <c r="E137" s="6" t="str">
        <f>IF('Nation Wise Summary'!U137="", "", (C137/'Nation Wise Summary'!U137)*100)</f>
        <v/>
      </c>
      <c r="F137" s="6" t="str">
        <f>IF('Nation Non-Social Pop Demograph'!B137="", "", ('Nation-Wide Education Seg'!C137/'Nation Non-Social Pop Demograph'!B137)*10000)</f>
        <v/>
      </c>
      <c r="G137" s="6" t="str">
        <f>IF('Nation Non-Social Pop Demograph'!J137="", "", ('Nation-Wide Education Seg'!C137/'Nation Non-Social Pop Demograph'!J137)*10000)</f>
        <v/>
      </c>
      <c r="H137" s="6"/>
      <c r="I137" s="6"/>
      <c r="J137" s="6"/>
      <c r="K137" s="6" t="str">
        <f>IF('Nation Wise Summary'!U137="", "", 'Nation-Wide Education Seg'!H137/'Nation Wise Summary'!U137)</f>
        <v/>
      </c>
      <c r="L137" s="6" t="str">
        <f>IF('Nation Non-Social Pop Demograph'!B137="", "", ('Nation-Wide Education Seg'!H137/'Nation Non-Social Pop Demograph'!B137)*10000)</f>
        <v/>
      </c>
      <c r="M137" s="6" t="str">
        <f>IF('Nation Non-Social Pop Demograph'!N137="", "", ('Nation-Wide Education Seg'!H137/'Nation Non-Social Pop Demograph'!N137)*10000)</f>
        <v/>
      </c>
      <c r="N137" s="6"/>
      <c r="O137" s="6"/>
      <c r="P137" s="6"/>
      <c r="Q137" s="6"/>
    </row>
    <row r="138" spans="1:17" x14ac:dyDescent="0.3">
      <c r="A138" s="6" t="s">
        <v>591</v>
      </c>
      <c r="B138" s="6"/>
      <c r="C138" s="6"/>
      <c r="D138" s="6"/>
      <c r="E138" s="6" t="str">
        <f>IF('Nation Wise Summary'!U138="", "", (C138/'Nation Wise Summary'!U138)*100)</f>
        <v/>
      </c>
      <c r="F138" s="6" t="str">
        <f>IF('Nation Non-Social Pop Demograph'!B138="", "", ('Nation-Wide Education Seg'!C138/'Nation Non-Social Pop Demograph'!B138)*10000)</f>
        <v/>
      </c>
      <c r="G138" s="6" t="str">
        <f>IF('Nation Non-Social Pop Demograph'!J138="", "", ('Nation-Wide Education Seg'!C138/'Nation Non-Social Pop Demograph'!J138)*10000)</f>
        <v/>
      </c>
      <c r="H138" s="6"/>
      <c r="I138" s="6"/>
      <c r="J138" s="6"/>
      <c r="K138" s="6" t="str">
        <f>IF('Nation Wise Summary'!U138="", "", 'Nation-Wide Education Seg'!H138/'Nation Wise Summary'!U138)</f>
        <v/>
      </c>
      <c r="L138" s="6" t="str">
        <f>IF('Nation Non-Social Pop Demograph'!B138="", "", ('Nation-Wide Education Seg'!H138/'Nation Non-Social Pop Demograph'!B138)*10000)</f>
        <v/>
      </c>
      <c r="M138" s="6" t="str">
        <f>IF('Nation Non-Social Pop Demograph'!N138="", "", ('Nation-Wide Education Seg'!H138/'Nation Non-Social Pop Demograph'!N138)*10000)</f>
        <v/>
      </c>
      <c r="N138" s="6"/>
      <c r="O138" s="6"/>
      <c r="P138" s="6"/>
      <c r="Q138" s="6"/>
    </row>
    <row r="139" spans="1:17" x14ac:dyDescent="0.3">
      <c r="A139" s="6" t="s">
        <v>592</v>
      </c>
      <c r="B139" s="6"/>
      <c r="C139" s="6"/>
      <c r="D139" s="6"/>
      <c r="E139" s="6" t="str">
        <f>IF('Nation Wise Summary'!U139="", "", (C139/'Nation Wise Summary'!U139)*100)</f>
        <v/>
      </c>
      <c r="F139" s="6" t="str">
        <f>IF('Nation Non-Social Pop Demograph'!B139="", "", ('Nation-Wide Education Seg'!C139/'Nation Non-Social Pop Demograph'!B139)*10000)</f>
        <v/>
      </c>
      <c r="G139" s="6" t="str">
        <f>IF('Nation Non-Social Pop Demograph'!J139="", "", ('Nation-Wide Education Seg'!C139/'Nation Non-Social Pop Demograph'!J139)*10000)</f>
        <v/>
      </c>
      <c r="H139" s="6"/>
      <c r="I139" s="6"/>
      <c r="J139" s="6"/>
      <c r="K139" s="6" t="str">
        <f>IF('Nation Wise Summary'!U139="", "", 'Nation-Wide Education Seg'!H139/'Nation Wise Summary'!U139)</f>
        <v/>
      </c>
      <c r="L139" s="6" t="str">
        <f>IF('Nation Non-Social Pop Demograph'!B139="", "", ('Nation-Wide Education Seg'!H139/'Nation Non-Social Pop Demograph'!B139)*10000)</f>
        <v/>
      </c>
      <c r="M139" s="6" t="str">
        <f>IF('Nation Non-Social Pop Demograph'!N139="", "", ('Nation-Wide Education Seg'!H139/'Nation Non-Social Pop Demograph'!N139)*10000)</f>
        <v/>
      </c>
      <c r="N139" s="6"/>
      <c r="O139" s="6"/>
      <c r="P139" s="6"/>
      <c r="Q139" s="6"/>
    </row>
    <row r="140" spans="1:17" x14ac:dyDescent="0.3">
      <c r="A140" s="6" t="s">
        <v>593</v>
      </c>
      <c r="B140" s="6"/>
      <c r="C140" s="6"/>
      <c r="D140" s="6"/>
      <c r="E140" s="6" t="str">
        <f>IF('Nation Wise Summary'!U140="", "", (C140/'Nation Wise Summary'!U140)*100)</f>
        <v/>
      </c>
      <c r="F140" s="6" t="str">
        <f>IF('Nation Non-Social Pop Demograph'!B140="", "", ('Nation-Wide Education Seg'!C140/'Nation Non-Social Pop Demograph'!B140)*10000)</f>
        <v/>
      </c>
      <c r="G140" s="6" t="str">
        <f>IF('Nation Non-Social Pop Demograph'!J140="", "", ('Nation-Wide Education Seg'!C140/'Nation Non-Social Pop Demograph'!J140)*10000)</f>
        <v/>
      </c>
      <c r="H140" s="6"/>
      <c r="I140" s="6"/>
      <c r="J140" s="6"/>
      <c r="K140" s="6" t="str">
        <f>IF('Nation Wise Summary'!U140="", "", 'Nation-Wide Education Seg'!H140/'Nation Wise Summary'!U140)</f>
        <v/>
      </c>
      <c r="L140" s="6" t="str">
        <f>IF('Nation Non-Social Pop Demograph'!B140="", "", ('Nation-Wide Education Seg'!H140/'Nation Non-Social Pop Demograph'!B140)*10000)</f>
        <v/>
      </c>
      <c r="M140" s="6" t="str">
        <f>IF('Nation Non-Social Pop Demograph'!N140="", "", ('Nation-Wide Education Seg'!H140/'Nation Non-Social Pop Demograph'!N140)*10000)</f>
        <v/>
      </c>
      <c r="N140" s="6"/>
      <c r="O140" s="6"/>
      <c r="P140" s="6"/>
      <c r="Q140" s="6"/>
    </row>
    <row r="141" spans="1:17" x14ac:dyDescent="0.3">
      <c r="A141" s="6" t="s">
        <v>594</v>
      </c>
      <c r="B141" s="6"/>
      <c r="C141" s="6"/>
      <c r="D141" s="6"/>
      <c r="E141" s="6" t="str">
        <f>IF('Nation Wise Summary'!U141="", "", (C141/'Nation Wise Summary'!U141)*100)</f>
        <v/>
      </c>
      <c r="F141" s="6" t="str">
        <f>IF('Nation Non-Social Pop Demograph'!B141="", "", ('Nation-Wide Education Seg'!C141/'Nation Non-Social Pop Demograph'!B141)*10000)</f>
        <v/>
      </c>
      <c r="G141" s="6" t="str">
        <f>IF('Nation Non-Social Pop Demograph'!J141="", "", ('Nation-Wide Education Seg'!C141/'Nation Non-Social Pop Demograph'!J141)*10000)</f>
        <v/>
      </c>
      <c r="H141" s="6"/>
      <c r="I141" s="6"/>
      <c r="J141" s="6"/>
      <c r="K141" s="6" t="str">
        <f>IF('Nation Wise Summary'!U141="", "", 'Nation-Wide Education Seg'!H141/'Nation Wise Summary'!U141)</f>
        <v/>
      </c>
      <c r="L141" s="6" t="str">
        <f>IF('Nation Non-Social Pop Demograph'!B141="", "", ('Nation-Wide Education Seg'!H141/'Nation Non-Social Pop Demograph'!B141)*10000)</f>
        <v/>
      </c>
      <c r="M141" s="6" t="str">
        <f>IF('Nation Non-Social Pop Demograph'!N141="", "", ('Nation-Wide Education Seg'!H141/'Nation Non-Social Pop Demograph'!N141)*10000)</f>
        <v/>
      </c>
      <c r="N141" s="6"/>
      <c r="O141" s="6"/>
      <c r="P141" s="6"/>
      <c r="Q141" s="6"/>
    </row>
    <row r="142" spans="1:17" x14ac:dyDescent="0.3">
      <c r="A142" s="6" t="s">
        <v>595</v>
      </c>
      <c r="B142" s="6"/>
      <c r="C142" s="6"/>
      <c r="D142" s="6"/>
      <c r="E142" s="6" t="str">
        <f>IF('Nation Wise Summary'!U142="", "", (C142/'Nation Wise Summary'!U142)*100)</f>
        <v/>
      </c>
      <c r="F142" s="6" t="str">
        <f>IF('Nation Non-Social Pop Demograph'!B142="", "", ('Nation-Wide Education Seg'!C142/'Nation Non-Social Pop Demograph'!B142)*10000)</f>
        <v/>
      </c>
      <c r="G142" s="6" t="str">
        <f>IF('Nation Non-Social Pop Demograph'!J142="", "", ('Nation-Wide Education Seg'!C142/'Nation Non-Social Pop Demograph'!J142)*10000)</f>
        <v/>
      </c>
      <c r="H142" s="6"/>
      <c r="I142" s="6"/>
      <c r="J142" s="6"/>
      <c r="K142" s="6" t="str">
        <f>IF('Nation Wise Summary'!U142="", "", 'Nation-Wide Education Seg'!H142/'Nation Wise Summary'!U142)</f>
        <v/>
      </c>
      <c r="L142" s="6" t="str">
        <f>IF('Nation Non-Social Pop Demograph'!B142="", "", ('Nation-Wide Education Seg'!H142/'Nation Non-Social Pop Demograph'!B142)*10000)</f>
        <v/>
      </c>
      <c r="M142" s="6" t="str">
        <f>IF('Nation Non-Social Pop Demograph'!N142="", "", ('Nation-Wide Education Seg'!H142/'Nation Non-Social Pop Demograph'!N142)*10000)</f>
        <v/>
      </c>
      <c r="N142" s="6"/>
      <c r="O142" s="6"/>
      <c r="P142" s="6"/>
      <c r="Q142" s="6"/>
    </row>
    <row r="143" spans="1:17" x14ac:dyDescent="0.3">
      <c r="A143" s="6" t="s">
        <v>596</v>
      </c>
      <c r="B143" s="6"/>
      <c r="C143" s="6"/>
      <c r="D143" s="6"/>
      <c r="E143" s="6" t="str">
        <f>IF('Nation Wise Summary'!U143="", "", (C143/'Nation Wise Summary'!U143)*100)</f>
        <v/>
      </c>
      <c r="F143" s="6" t="str">
        <f>IF('Nation Non-Social Pop Demograph'!B143="", "", ('Nation-Wide Education Seg'!C143/'Nation Non-Social Pop Demograph'!B143)*10000)</f>
        <v/>
      </c>
      <c r="G143" s="6" t="str">
        <f>IF('Nation Non-Social Pop Demograph'!J143="", "", ('Nation-Wide Education Seg'!C143/'Nation Non-Social Pop Demograph'!J143)*10000)</f>
        <v/>
      </c>
      <c r="H143" s="6"/>
      <c r="I143" s="6"/>
      <c r="J143" s="6"/>
      <c r="K143" s="6" t="str">
        <f>IF('Nation Wise Summary'!U143="", "", 'Nation-Wide Education Seg'!H143/'Nation Wise Summary'!U143)</f>
        <v/>
      </c>
      <c r="L143" s="6" t="str">
        <f>IF('Nation Non-Social Pop Demograph'!B143="", "", ('Nation-Wide Education Seg'!H143/'Nation Non-Social Pop Demograph'!B143)*10000)</f>
        <v/>
      </c>
      <c r="M143" s="6" t="str">
        <f>IF('Nation Non-Social Pop Demograph'!N143="", "", ('Nation-Wide Education Seg'!H143/'Nation Non-Social Pop Demograph'!N143)*10000)</f>
        <v/>
      </c>
      <c r="N143" s="6"/>
      <c r="O143" s="6"/>
      <c r="P143" s="6"/>
      <c r="Q143" s="6"/>
    </row>
    <row r="144" spans="1:17" x14ac:dyDescent="0.3">
      <c r="A144" s="6" t="s">
        <v>597</v>
      </c>
      <c r="B144" s="6"/>
      <c r="C144" s="6"/>
      <c r="D144" s="6"/>
      <c r="E144" s="6" t="str">
        <f>IF('Nation Wise Summary'!U144="", "", (C144/'Nation Wise Summary'!U144)*100)</f>
        <v/>
      </c>
      <c r="F144" s="6" t="str">
        <f>IF('Nation Non-Social Pop Demograph'!B144="", "", ('Nation-Wide Education Seg'!C144/'Nation Non-Social Pop Demograph'!B144)*10000)</f>
        <v/>
      </c>
      <c r="G144" s="6" t="str">
        <f>IF('Nation Non-Social Pop Demograph'!J144="", "", ('Nation-Wide Education Seg'!C144/'Nation Non-Social Pop Demograph'!J144)*10000)</f>
        <v/>
      </c>
      <c r="H144" s="6"/>
      <c r="I144" s="6"/>
      <c r="J144" s="6"/>
      <c r="K144" s="6" t="str">
        <f>IF('Nation Wise Summary'!U144="", "", 'Nation-Wide Education Seg'!H144/'Nation Wise Summary'!U144)</f>
        <v/>
      </c>
      <c r="L144" s="6" t="str">
        <f>IF('Nation Non-Social Pop Demograph'!B144="", "", ('Nation-Wide Education Seg'!H144/'Nation Non-Social Pop Demograph'!B144)*10000)</f>
        <v/>
      </c>
      <c r="M144" s="6" t="str">
        <f>IF('Nation Non-Social Pop Demograph'!N144="", "", ('Nation-Wide Education Seg'!H144/'Nation Non-Social Pop Demograph'!N144)*10000)</f>
        <v/>
      </c>
      <c r="N144" s="6"/>
      <c r="O144" s="6"/>
      <c r="P144" s="6"/>
      <c r="Q144" s="6"/>
    </row>
    <row r="145" spans="1:17" x14ac:dyDescent="0.3">
      <c r="A145" s="6" t="s">
        <v>598</v>
      </c>
      <c r="B145" s="6"/>
      <c r="C145" s="6"/>
      <c r="D145" s="6"/>
      <c r="E145" s="6" t="str">
        <f>IF('Nation Wise Summary'!U145="", "", (C145/'Nation Wise Summary'!U145)*100)</f>
        <v/>
      </c>
      <c r="F145" s="6" t="str">
        <f>IF('Nation Non-Social Pop Demograph'!B145="", "", ('Nation-Wide Education Seg'!C145/'Nation Non-Social Pop Demograph'!B145)*10000)</f>
        <v/>
      </c>
      <c r="G145" s="6" t="str">
        <f>IF('Nation Non-Social Pop Demograph'!J145="", "", ('Nation-Wide Education Seg'!C145/'Nation Non-Social Pop Demograph'!J145)*10000)</f>
        <v/>
      </c>
      <c r="H145" s="6"/>
      <c r="I145" s="6"/>
      <c r="J145" s="6"/>
      <c r="K145" s="6" t="str">
        <f>IF('Nation Wise Summary'!U145="", "", 'Nation-Wide Education Seg'!H145/'Nation Wise Summary'!U145)</f>
        <v/>
      </c>
      <c r="L145" s="6" t="str">
        <f>IF('Nation Non-Social Pop Demograph'!B145="", "", ('Nation-Wide Education Seg'!H145/'Nation Non-Social Pop Demograph'!B145)*10000)</f>
        <v/>
      </c>
      <c r="M145" s="6" t="str">
        <f>IF('Nation Non-Social Pop Demograph'!N145="", "", ('Nation-Wide Education Seg'!H145/'Nation Non-Social Pop Demograph'!N145)*10000)</f>
        <v/>
      </c>
      <c r="N145" s="6"/>
      <c r="O145" s="6"/>
      <c r="P145" s="6"/>
      <c r="Q145" s="6"/>
    </row>
    <row r="146" spans="1:17" x14ac:dyDescent="0.3">
      <c r="A146" s="6" t="s">
        <v>599</v>
      </c>
      <c r="B146" s="6"/>
      <c r="C146" s="6"/>
      <c r="D146" s="6"/>
      <c r="E146" s="6" t="str">
        <f>IF('Nation Wise Summary'!U146="", "", (C146/'Nation Wise Summary'!U146)*100)</f>
        <v/>
      </c>
      <c r="F146" s="6" t="str">
        <f>IF('Nation Non-Social Pop Demograph'!B146="", "", ('Nation-Wide Education Seg'!C146/'Nation Non-Social Pop Demograph'!B146)*10000)</f>
        <v/>
      </c>
      <c r="G146" s="6" t="str">
        <f>IF('Nation Non-Social Pop Demograph'!J146="", "", ('Nation-Wide Education Seg'!C146/'Nation Non-Social Pop Demograph'!J146)*10000)</f>
        <v/>
      </c>
      <c r="H146" s="6"/>
      <c r="I146" s="6"/>
      <c r="J146" s="6"/>
      <c r="K146" s="6" t="str">
        <f>IF('Nation Wise Summary'!U146="", "", 'Nation-Wide Education Seg'!H146/'Nation Wise Summary'!U146)</f>
        <v/>
      </c>
      <c r="L146" s="6" t="str">
        <f>IF('Nation Non-Social Pop Demograph'!B146="", "", ('Nation-Wide Education Seg'!H146/'Nation Non-Social Pop Demograph'!B146)*10000)</f>
        <v/>
      </c>
      <c r="M146" s="6" t="str">
        <f>IF('Nation Non-Social Pop Demograph'!N146="", "", ('Nation-Wide Education Seg'!H146/'Nation Non-Social Pop Demograph'!N146)*10000)</f>
        <v/>
      </c>
      <c r="N146" s="6"/>
      <c r="O146" s="6"/>
      <c r="P146" s="6"/>
      <c r="Q146" s="6"/>
    </row>
    <row r="147" spans="1:17" x14ac:dyDescent="0.3">
      <c r="A147" s="6" t="s">
        <v>841</v>
      </c>
      <c r="B147" s="6"/>
      <c r="C147" s="6"/>
      <c r="D147" s="6"/>
      <c r="E147" s="6" t="str">
        <f>IF('Nation Wise Summary'!U147="", "", (C147/'Nation Wise Summary'!U147)*100)</f>
        <v/>
      </c>
      <c r="F147" s="6" t="str">
        <f>IF('Nation Non-Social Pop Demograph'!B147="", "", ('Nation-Wide Education Seg'!C147/'Nation Non-Social Pop Demograph'!B147)*10000)</f>
        <v/>
      </c>
      <c r="G147" s="6" t="str">
        <f>IF('Nation Non-Social Pop Demograph'!J147="", "", ('Nation-Wide Education Seg'!C147/'Nation Non-Social Pop Demograph'!J147)*10000)</f>
        <v/>
      </c>
      <c r="H147" s="6"/>
      <c r="I147" s="6"/>
      <c r="J147" s="6"/>
      <c r="K147" s="6" t="str">
        <f>IF('Nation Wise Summary'!U147="", "", 'Nation-Wide Education Seg'!H147/'Nation Wise Summary'!U147)</f>
        <v/>
      </c>
      <c r="L147" s="6" t="str">
        <f>IF('Nation Non-Social Pop Demograph'!B147="", "", ('Nation-Wide Education Seg'!H147/'Nation Non-Social Pop Demograph'!B147)*10000)</f>
        <v/>
      </c>
      <c r="M147" s="6" t="str">
        <f>IF('Nation Non-Social Pop Demograph'!N147="", "", ('Nation-Wide Education Seg'!H147/'Nation Non-Social Pop Demograph'!N147)*10000)</f>
        <v/>
      </c>
      <c r="N147" s="6"/>
      <c r="O147" s="6"/>
      <c r="P147" s="6"/>
      <c r="Q147" s="6"/>
    </row>
    <row r="148" spans="1:17" x14ac:dyDescent="0.3">
      <c r="A148" s="6" t="s">
        <v>600</v>
      </c>
      <c r="B148" s="6"/>
      <c r="C148" s="6"/>
      <c r="D148" s="6"/>
      <c r="E148" s="6" t="str">
        <f>IF('Nation Wise Summary'!U148="", "", (C148/'Nation Wise Summary'!U148)*100)</f>
        <v/>
      </c>
      <c r="F148" s="6" t="str">
        <f>IF('Nation Non-Social Pop Demograph'!B148="", "", ('Nation-Wide Education Seg'!C148/'Nation Non-Social Pop Demograph'!B148)*10000)</f>
        <v/>
      </c>
      <c r="G148" s="6" t="str">
        <f>IF('Nation Non-Social Pop Demograph'!J148="", "", ('Nation-Wide Education Seg'!C148/'Nation Non-Social Pop Demograph'!J148)*10000)</f>
        <v/>
      </c>
      <c r="H148" s="6"/>
      <c r="I148" s="6"/>
      <c r="J148" s="6"/>
      <c r="K148" s="6" t="str">
        <f>IF('Nation Wise Summary'!U148="", "", 'Nation-Wide Education Seg'!H148/'Nation Wise Summary'!U148)</f>
        <v/>
      </c>
      <c r="L148" s="6" t="str">
        <f>IF('Nation Non-Social Pop Demograph'!B148="", "", ('Nation-Wide Education Seg'!H148/'Nation Non-Social Pop Demograph'!B148)*10000)</f>
        <v/>
      </c>
      <c r="M148" s="6" t="str">
        <f>IF('Nation Non-Social Pop Demograph'!N148="", "", ('Nation-Wide Education Seg'!H148/'Nation Non-Social Pop Demograph'!N148)*10000)</f>
        <v/>
      </c>
      <c r="N148" s="6"/>
      <c r="O148" s="6"/>
      <c r="P148" s="6"/>
      <c r="Q148" s="6"/>
    </row>
    <row r="149" spans="1:17" x14ac:dyDescent="0.3">
      <c r="A149" s="6" t="s">
        <v>601</v>
      </c>
      <c r="B149" s="6"/>
      <c r="C149" s="6"/>
      <c r="D149" s="6"/>
      <c r="E149" s="6" t="str">
        <f>IF('Nation Wise Summary'!U149="", "", (C149/'Nation Wise Summary'!U149)*100)</f>
        <v/>
      </c>
      <c r="F149" s="6" t="str">
        <f>IF('Nation Non-Social Pop Demograph'!B149="", "", ('Nation-Wide Education Seg'!C149/'Nation Non-Social Pop Demograph'!B149)*10000)</f>
        <v/>
      </c>
      <c r="G149" s="6" t="str">
        <f>IF('Nation Non-Social Pop Demograph'!J149="", "", ('Nation-Wide Education Seg'!C149/'Nation Non-Social Pop Demograph'!J149)*10000)</f>
        <v/>
      </c>
      <c r="H149" s="6"/>
      <c r="I149" s="6"/>
      <c r="J149" s="6"/>
      <c r="K149" s="6" t="str">
        <f>IF('Nation Wise Summary'!U149="", "", 'Nation-Wide Education Seg'!H149/'Nation Wise Summary'!U149)</f>
        <v/>
      </c>
      <c r="L149" s="6" t="str">
        <f>IF('Nation Non-Social Pop Demograph'!B149="", "", ('Nation-Wide Education Seg'!H149/'Nation Non-Social Pop Demograph'!B149)*10000)</f>
        <v/>
      </c>
      <c r="M149" s="6" t="str">
        <f>IF('Nation Non-Social Pop Demograph'!N149="", "", ('Nation-Wide Education Seg'!H149/'Nation Non-Social Pop Demograph'!N149)*10000)</f>
        <v/>
      </c>
      <c r="N149" s="6"/>
      <c r="O149" s="6"/>
      <c r="P149" s="6"/>
      <c r="Q149" s="6"/>
    </row>
    <row r="150" spans="1:17" x14ac:dyDescent="0.3">
      <c r="A150" s="6" t="s">
        <v>602</v>
      </c>
      <c r="B150" s="6"/>
      <c r="C150" s="6"/>
      <c r="D150" s="6"/>
      <c r="E150" s="6" t="str">
        <f>IF('Nation Wise Summary'!U150="", "", (C150/'Nation Wise Summary'!U150)*100)</f>
        <v/>
      </c>
      <c r="F150" s="6" t="str">
        <f>IF('Nation Non-Social Pop Demograph'!B150="", "", ('Nation-Wide Education Seg'!C150/'Nation Non-Social Pop Demograph'!B150)*10000)</f>
        <v/>
      </c>
      <c r="G150" s="6" t="str">
        <f>IF('Nation Non-Social Pop Demograph'!J150="", "", ('Nation-Wide Education Seg'!C150/'Nation Non-Social Pop Demograph'!J150)*10000)</f>
        <v/>
      </c>
      <c r="H150" s="6"/>
      <c r="I150" s="6"/>
      <c r="J150" s="6"/>
      <c r="K150" s="6" t="str">
        <f>IF('Nation Wise Summary'!U150="", "", 'Nation-Wide Education Seg'!H150/'Nation Wise Summary'!U150)</f>
        <v/>
      </c>
      <c r="L150" s="6" t="str">
        <f>IF('Nation Non-Social Pop Demograph'!B150="", "", ('Nation-Wide Education Seg'!H150/'Nation Non-Social Pop Demograph'!B150)*10000)</f>
        <v/>
      </c>
      <c r="M150" s="6" t="str">
        <f>IF('Nation Non-Social Pop Demograph'!N150="", "", ('Nation-Wide Education Seg'!H150/'Nation Non-Social Pop Demograph'!N150)*10000)</f>
        <v/>
      </c>
      <c r="N150" s="6"/>
      <c r="O150" s="6"/>
      <c r="P150" s="6"/>
      <c r="Q150" s="6"/>
    </row>
    <row r="151" spans="1:17" x14ac:dyDescent="0.3">
      <c r="A151" s="6" t="s">
        <v>603</v>
      </c>
      <c r="B151" s="6"/>
      <c r="C151" s="6"/>
      <c r="D151" s="6"/>
      <c r="E151" s="6" t="str">
        <f>IF('Nation Wise Summary'!U151="", "", (C151/'Nation Wise Summary'!U151)*100)</f>
        <v/>
      </c>
      <c r="F151" s="6" t="str">
        <f>IF('Nation Non-Social Pop Demograph'!B151="", "", ('Nation-Wide Education Seg'!C151/'Nation Non-Social Pop Demograph'!B151)*10000)</f>
        <v/>
      </c>
      <c r="G151" s="6" t="str">
        <f>IF('Nation Non-Social Pop Demograph'!J151="", "", ('Nation-Wide Education Seg'!C151/'Nation Non-Social Pop Demograph'!J151)*10000)</f>
        <v/>
      </c>
      <c r="H151" s="6"/>
      <c r="I151" s="6"/>
      <c r="J151" s="6"/>
      <c r="K151" s="6" t="str">
        <f>IF('Nation Wise Summary'!U151="", "", 'Nation-Wide Education Seg'!H151/'Nation Wise Summary'!U151)</f>
        <v/>
      </c>
      <c r="L151" s="6" t="str">
        <f>IF('Nation Non-Social Pop Demograph'!B151="", "", ('Nation-Wide Education Seg'!H151/'Nation Non-Social Pop Demograph'!B151)*10000)</f>
        <v/>
      </c>
      <c r="M151" s="6" t="str">
        <f>IF('Nation Non-Social Pop Demograph'!N151="", "", ('Nation-Wide Education Seg'!H151/'Nation Non-Social Pop Demograph'!N151)*10000)</f>
        <v/>
      </c>
      <c r="N151" s="6"/>
      <c r="O151" s="6"/>
      <c r="P151" s="6"/>
      <c r="Q151" s="6"/>
    </row>
    <row r="152" spans="1:17" x14ac:dyDescent="0.3">
      <c r="A152" s="6" t="s">
        <v>604</v>
      </c>
      <c r="B152" s="6"/>
      <c r="C152" s="6"/>
      <c r="D152" s="6"/>
      <c r="E152" s="6" t="str">
        <f>IF('Nation Wise Summary'!U152="", "", (C152/'Nation Wise Summary'!U152)*100)</f>
        <v/>
      </c>
      <c r="F152" s="6" t="str">
        <f>IF('Nation Non-Social Pop Demograph'!B152="", "", ('Nation-Wide Education Seg'!C152/'Nation Non-Social Pop Demograph'!B152)*10000)</f>
        <v/>
      </c>
      <c r="G152" s="6" t="str">
        <f>IF('Nation Non-Social Pop Demograph'!J152="", "", ('Nation-Wide Education Seg'!C152/'Nation Non-Social Pop Demograph'!J152)*10000)</f>
        <v/>
      </c>
      <c r="H152" s="6"/>
      <c r="I152" s="6"/>
      <c r="J152" s="6"/>
      <c r="K152" s="6" t="str">
        <f>IF('Nation Wise Summary'!U152="", "", 'Nation-Wide Education Seg'!H152/'Nation Wise Summary'!U152)</f>
        <v/>
      </c>
      <c r="L152" s="6" t="str">
        <f>IF('Nation Non-Social Pop Demograph'!B152="", "", ('Nation-Wide Education Seg'!H152/'Nation Non-Social Pop Demograph'!B152)*10000)</f>
        <v/>
      </c>
      <c r="M152" s="6" t="str">
        <f>IF('Nation Non-Social Pop Demograph'!N152="", "", ('Nation-Wide Education Seg'!H152/'Nation Non-Social Pop Demograph'!N152)*10000)</f>
        <v/>
      </c>
      <c r="N152" s="6"/>
      <c r="O152" s="6"/>
      <c r="P152" s="6"/>
      <c r="Q152" s="6"/>
    </row>
    <row r="153" spans="1:17" x14ac:dyDescent="0.3">
      <c r="A153" s="6" t="s">
        <v>605</v>
      </c>
      <c r="B153" s="6"/>
      <c r="C153" s="6"/>
      <c r="D153" s="6"/>
      <c r="E153" s="6" t="str">
        <f>IF('Nation Wise Summary'!U153="", "", (C153/'Nation Wise Summary'!U153)*100)</f>
        <v/>
      </c>
      <c r="F153" s="6" t="str">
        <f>IF('Nation Non-Social Pop Demograph'!B153="", "", ('Nation-Wide Education Seg'!C153/'Nation Non-Social Pop Demograph'!B153)*10000)</f>
        <v/>
      </c>
      <c r="G153" s="6" t="str">
        <f>IF('Nation Non-Social Pop Demograph'!J153="", "", ('Nation-Wide Education Seg'!C153/'Nation Non-Social Pop Demograph'!J153)*10000)</f>
        <v/>
      </c>
      <c r="H153" s="6"/>
      <c r="I153" s="6"/>
      <c r="J153" s="6"/>
      <c r="K153" s="6" t="str">
        <f>IF('Nation Wise Summary'!U153="", "", 'Nation-Wide Education Seg'!H153/'Nation Wise Summary'!U153)</f>
        <v/>
      </c>
      <c r="L153" s="6" t="str">
        <f>IF('Nation Non-Social Pop Demograph'!B153="", "", ('Nation-Wide Education Seg'!H153/'Nation Non-Social Pop Demograph'!B153)*10000)</f>
        <v/>
      </c>
      <c r="M153" s="6" t="str">
        <f>IF('Nation Non-Social Pop Demograph'!N153="", "", ('Nation-Wide Education Seg'!H153/'Nation Non-Social Pop Demograph'!N153)*10000)</f>
        <v/>
      </c>
      <c r="N153" s="6"/>
      <c r="O153" s="6"/>
      <c r="P153" s="6"/>
      <c r="Q153" s="6"/>
    </row>
    <row r="154" spans="1:17" x14ac:dyDescent="0.3">
      <c r="A154" s="6" t="s">
        <v>606</v>
      </c>
      <c r="B154" s="6"/>
      <c r="C154" s="6"/>
      <c r="D154" s="6"/>
      <c r="E154" s="6" t="str">
        <f>IF('Nation Wise Summary'!U154="", "", (C154/'Nation Wise Summary'!U154)*100)</f>
        <v/>
      </c>
      <c r="F154" s="6" t="str">
        <f>IF('Nation Non-Social Pop Demograph'!B154="", "", ('Nation-Wide Education Seg'!C154/'Nation Non-Social Pop Demograph'!B154)*10000)</f>
        <v/>
      </c>
      <c r="G154" s="6" t="str">
        <f>IF('Nation Non-Social Pop Demograph'!J154="", "", ('Nation-Wide Education Seg'!C154/'Nation Non-Social Pop Demograph'!J154)*10000)</f>
        <v/>
      </c>
      <c r="H154" s="6"/>
      <c r="I154" s="6"/>
      <c r="J154" s="6"/>
      <c r="K154" s="6" t="str">
        <f>IF('Nation Wise Summary'!U154="", "", 'Nation-Wide Education Seg'!H154/'Nation Wise Summary'!U154)</f>
        <v/>
      </c>
      <c r="L154" s="6" t="str">
        <f>IF('Nation Non-Social Pop Demograph'!B154="", "", ('Nation-Wide Education Seg'!H154/'Nation Non-Social Pop Demograph'!B154)*10000)</f>
        <v/>
      </c>
      <c r="M154" s="6" t="str">
        <f>IF('Nation Non-Social Pop Demograph'!N154="", "", ('Nation-Wide Education Seg'!H154/'Nation Non-Social Pop Demograph'!N154)*10000)</f>
        <v/>
      </c>
      <c r="N154" s="6"/>
      <c r="O154" s="6"/>
      <c r="P154" s="6"/>
      <c r="Q154" s="6"/>
    </row>
    <row r="155" spans="1:17" x14ac:dyDescent="0.3">
      <c r="A155" s="6" t="s">
        <v>607</v>
      </c>
      <c r="B155" s="6"/>
      <c r="C155" s="6"/>
      <c r="D155" s="6"/>
      <c r="E155" s="6" t="str">
        <f>IF('Nation Wise Summary'!U155="", "", (C155/'Nation Wise Summary'!U155)*100)</f>
        <v/>
      </c>
      <c r="F155" s="6" t="str">
        <f>IF('Nation Non-Social Pop Demograph'!B155="", "", ('Nation-Wide Education Seg'!C155/'Nation Non-Social Pop Demograph'!B155)*10000)</f>
        <v/>
      </c>
      <c r="G155" s="6" t="str">
        <f>IF('Nation Non-Social Pop Demograph'!J155="", "", ('Nation-Wide Education Seg'!C155/'Nation Non-Social Pop Demograph'!J155)*10000)</f>
        <v/>
      </c>
      <c r="H155" s="6"/>
      <c r="I155" s="6"/>
      <c r="J155" s="6"/>
      <c r="K155" s="6" t="str">
        <f>IF('Nation Wise Summary'!U155="", "", 'Nation-Wide Education Seg'!H155/'Nation Wise Summary'!U155)</f>
        <v/>
      </c>
      <c r="L155" s="6" t="str">
        <f>IF('Nation Non-Social Pop Demograph'!B155="", "", ('Nation-Wide Education Seg'!H155/'Nation Non-Social Pop Demograph'!B155)*10000)</f>
        <v/>
      </c>
      <c r="M155" s="6" t="str">
        <f>IF('Nation Non-Social Pop Demograph'!N155="", "", ('Nation-Wide Education Seg'!H155/'Nation Non-Social Pop Demograph'!N155)*10000)</f>
        <v/>
      </c>
      <c r="N155" s="6"/>
      <c r="O155" s="6"/>
      <c r="P155" s="6"/>
      <c r="Q155" s="6"/>
    </row>
    <row r="156" spans="1:17" x14ac:dyDescent="0.3">
      <c r="A156" s="6" t="s">
        <v>608</v>
      </c>
      <c r="B156" s="6"/>
      <c r="C156" s="6"/>
      <c r="D156" s="6"/>
      <c r="E156" s="6" t="str">
        <f>IF('Nation Wise Summary'!U156="", "", (C156/'Nation Wise Summary'!U156)*100)</f>
        <v/>
      </c>
      <c r="F156" s="6" t="str">
        <f>IF('Nation Non-Social Pop Demograph'!B156="", "", ('Nation-Wide Education Seg'!C156/'Nation Non-Social Pop Demograph'!B156)*10000)</f>
        <v/>
      </c>
      <c r="G156" s="6" t="str">
        <f>IF('Nation Non-Social Pop Demograph'!J156="", "", ('Nation-Wide Education Seg'!C156/'Nation Non-Social Pop Demograph'!J156)*10000)</f>
        <v/>
      </c>
      <c r="H156" s="6"/>
      <c r="I156" s="6"/>
      <c r="J156" s="6"/>
      <c r="K156" s="6" t="str">
        <f>IF('Nation Wise Summary'!U156="", "", 'Nation-Wide Education Seg'!H156/'Nation Wise Summary'!U156)</f>
        <v/>
      </c>
      <c r="L156" s="6" t="str">
        <f>IF('Nation Non-Social Pop Demograph'!B156="", "", ('Nation-Wide Education Seg'!H156/'Nation Non-Social Pop Demograph'!B156)*10000)</f>
        <v/>
      </c>
      <c r="M156" s="6" t="str">
        <f>IF('Nation Non-Social Pop Demograph'!N156="", "", ('Nation-Wide Education Seg'!H156/'Nation Non-Social Pop Demograph'!N156)*10000)</f>
        <v/>
      </c>
      <c r="N156" s="6"/>
      <c r="O156" s="6"/>
      <c r="P156" s="6"/>
      <c r="Q156" s="6"/>
    </row>
    <row r="157" spans="1:17" x14ac:dyDescent="0.3">
      <c r="A157" s="6" t="s">
        <v>609</v>
      </c>
      <c r="B157" s="6"/>
      <c r="C157" s="6"/>
      <c r="D157" s="6"/>
      <c r="E157" s="6" t="str">
        <f>IF('Nation Wise Summary'!U157="", "", (C157/'Nation Wise Summary'!U157)*100)</f>
        <v/>
      </c>
      <c r="F157" s="6" t="str">
        <f>IF('Nation Non-Social Pop Demograph'!B157="", "", ('Nation-Wide Education Seg'!C157/'Nation Non-Social Pop Demograph'!B157)*10000)</f>
        <v/>
      </c>
      <c r="G157" s="6" t="str">
        <f>IF('Nation Non-Social Pop Demograph'!J157="", "", ('Nation-Wide Education Seg'!C157/'Nation Non-Social Pop Demograph'!J157)*10000)</f>
        <v/>
      </c>
      <c r="H157" s="6"/>
      <c r="I157" s="6"/>
      <c r="J157" s="6"/>
      <c r="K157" s="6" t="str">
        <f>IF('Nation Wise Summary'!U157="", "", 'Nation-Wide Education Seg'!H157/'Nation Wise Summary'!U157)</f>
        <v/>
      </c>
      <c r="L157" s="6" t="str">
        <f>IF('Nation Non-Social Pop Demograph'!B157="", "", ('Nation-Wide Education Seg'!H157/'Nation Non-Social Pop Demograph'!B157)*10000)</f>
        <v/>
      </c>
      <c r="M157" s="6" t="str">
        <f>IF('Nation Non-Social Pop Demograph'!N157="", "", ('Nation-Wide Education Seg'!H157/'Nation Non-Social Pop Demograph'!N157)*10000)</f>
        <v/>
      </c>
      <c r="N157" s="6"/>
      <c r="O157" s="6"/>
      <c r="P157" s="6"/>
      <c r="Q157" s="6"/>
    </row>
    <row r="158" spans="1:17" x14ac:dyDescent="0.3">
      <c r="A158" s="6" t="s">
        <v>610</v>
      </c>
      <c r="B158" s="6"/>
      <c r="C158" s="6"/>
      <c r="D158" s="6"/>
      <c r="E158" s="6" t="str">
        <f>IF('Nation Wise Summary'!U158="", "", (C158/'Nation Wise Summary'!U158)*100)</f>
        <v/>
      </c>
      <c r="F158" s="6" t="str">
        <f>IF('Nation Non-Social Pop Demograph'!B158="", "", ('Nation-Wide Education Seg'!C158/'Nation Non-Social Pop Demograph'!B158)*10000)</f>
        <v/>
      </c>
      <c r="G158" s="6" t="str">
        <f>IF('Nation Non-Social Pop Demograph'!J158="", "", ('Nation-Wide Education Seg'!C158/'Nation Non-Social Pop Demograph'!J158)*10000)</f>
        <v/>
      </c>
      <c r="H158" s="6"/>
      <c r="I158" s="6"/>
      <c r="J158" s="6"/>
      <c r="K158" s="6" t="str">
        <f>IF('Nation Wise Summary'!U158="", "", 'Nation-Wide Education Seg'!H158/'Nation Wise Summary'!U158)</f>
        <v/>
      </c>
      <c r="L158" s="6" t="str">
        <f>IF('Nation Non-Social Pop Demograph'!B158="", "", ('Nation-Wide Education Seg'!H158/'Nation Non-Social Pop Demograph'!B158)*10000)</f>
        <v/>
      </c>
      <c r="M158" s="6" t="str">
        <f>IF('Nation Non-Social Pop Demograph'!N158="", "", ('Nation-Wide Education Seg'!H158/'Nation Non-Social Pop Demograph'!N158)*10000)</f>
        <v/>
      </c>
      <c r="N158" s="6"/>
      <c r="O158" s="6"/>
      <c r="P158" s="6"/>
      <c r="Q158" s="6"/>
    </row>
    <row r="159" spans="1:17" x14ac:dyDescent="0.3">
      <c r="A159" s="6" t="s">
        <v>611</v>
      </c>
      <c r="B159" s="6"/>
      <c r="C159" s="6"/>
      <c r="D159" s="6"/>
      <c r="E159" s="6" t="str">
        <f>IF('Nation Wise Summary'!U159="", "", (C159/'Nation Wise Summary'!U159)*100)</f>
        <v/>
      </c>
      <c r="F159" s="6" t="str">
        <f>IF('Nation Non-Social Pop Demograph'!B159="", "", ('Nation-Wide Education Seg'!C159/'Nation Non-Social Pop Demograph'!B159)*10000)</f>
        <v/>
      </c>
      <c r="G159" s="6" t="str">
        <f>IF('Nation Non-Social Pop Demograph'!J159="", "", ('Nation-Wide Education Seg'!C159/'Nation Non-Social Pop Demograph'!J159)*10000)</f>
        <v/>
      </c>
      <c r="H159" s="6"/>
      <c r="I159" s="6"/>
      <c r="J159" s="6"/>
      <c r="K159" s="6" t="str">
        <f>IF('Nation Wise Summary'!U159="", "", 'Nation-Wide Education Seg'!H159/'Nation Wise Summary'!U159)</f>
        <v/>
      </c>
      <c r="L159" s="6" t="str">
        <f>IF('Nation Non-Social Pop Demograph'!B159="", "", ('Nation-Wide Education Seg'!H159/'Nation Non-Social Pop Demograph'!B159)*10000)</f>
        <v/>
      </c>
      <c r="M159" s="6" t="str">
        <f>IF('Nation Non-Social Pop Demograph'!N159="", "", ('Nation-Wide Education Seg'!H159/'Nation Non-Social Pop Demograph'!N159)*10000)</f>
        <v/>
      </c>
      <c r="N159" s="6"/>
      <c r="O159" s="6"/>
      <c r="P159" s="6"/>
      <c r="Q159" s="6"/>
    </row>
    <row r="160" spans="1:17" x14ac:dyDescent="0.3">
      <c r="A160" s="6" t="s">
        <v>612</v>
      </c>
      <c r="B160" s="6"/>
      <c r="C160" s="6"/>
      <c r="D160" s="6"/>
      <c r="E160" s="6" t="str">
        <f>IF('Nation Wise Summary'!U160="", "", (C160/'Nation Wise Summary'!U160)*100)</f>
        <v/>
      </c>
      <c r="F160" s="6" t="str">
        <f>IF('Nation Non-Social Pop Demograph'!B160="", "", ('Nation-Wide Education Seg'!C160/'Nation Non-Social Pop Demograph'!B160)*10000)</f>
        <v/>
      </c>
      <c r="G160" s="6" t="str">
        <f>IF('Nation Non-Social Pop Demograph'!J160="", "", ('Nation-Wide Education Seg'!C160/'Nation Non-Social Pop Demograph'!J160)*10000)</f>
        <v/>
      </c>
      <c r="H160" s="6"/>
      <c r="I160" s="6"/>
      <c r="J160" s="6"/>
      <c r="K160" s="6" t="str">
        <f>IF('Nation Wise Summary'!U160="", "", 'Nation-Wide Education Seg'!H160/'Nation Wise Summary'!U160)</f>
        <v/>
      </c>
      <c r="L160" s="6" t="str">
        <f>IF('Nation Non-Social Pop Demograph'!B160="", "", ('Nation-Wide Education Seg'!H160/'Nation Non-Social Pop Demograph'!B160)*10000)</f>
        <v/>
      </c>
      <c r="M160" s="6" t="str">
        <f>IF('Nation Non-Social Pop Demograph'!N160="", "", ('Nation-Wide Education Seg'!H160/'Nation Non-Social Pop Demograph'!N160)*10000)</f>
        <v/>
      </c>
      <c r="N160" s="6"/>
      <c r="O160" s="6"/>
      <c r="P160" s="6"/>
      <c r="Q160" s="6"/>
    </row>
    <row r="161" spans="1:17" x14ac:dyDescent="0.3">
      <c r="A161" s="6" t="s">
        <v>613</v>
      </c>
      <c r="B161" s="6"/>
      <c r="C161" s="6"/>
      <c r="D161" s="6"/>
      <c r="E161" s="6" t="str">
        <f>IF('Nation Wise Summary'!U161="", "", (C161/'Nation Wise Summary'!U161)*100)</f>
        <v/>
      </c>
      <c r="F161" s="6" t="str">
        <f>IF('Nation Non-Social Pop Demograph'!B161="", "", ('Nation-Wide Education Seg'!C161/'Nation Non-Social Pop Demograph'!B161)*10000)</f>
        <v/>
      </c>
      <c r="G161" s="6" t="str">
        <f>IF('Nation Non-Social Pop Demograph'!J161="", "", ('Nation-Wide Education Seg'!C161/'Nation Non-Social Pop Demograph'!J161)*10000)</f>
        <v/>
      </c>
      <c r="H161" s="6"/>
      <c r="I161" s="6"/>
      <c r="J161" s="6"/>
      <c r="K161" s="6" t="str">
        <f>IF('Nation Wise Summary'!U161="", "", 'Nation-Wide Education Seg'!H161/'Nation Wise Summary'!U161)</f>
        <v/>
      </c>
      <c r="L161" s="6" t="str">
        <f>IF('Nation Non-Social Pop Demograph'!B161="", "", ('Nation-Wide Education Seg'!H161/'Nation Non-Social Pop Demograph'!B161)*10000)</f>
        <v/>
      </c>
      <c r="M161" s="6" t="str">
        <f>IF('Nation Non-Social Pop Demograph'!N161="", "", ('Nation-Wide Education Seg'!H161/'Nation Non-Social Pop Demograph'!N161)*10000)</f>
        <v/>
      </c>
      <c r="N161" s="6"/>
      <c r="O161" s="6"/>
      <c r="P161" s="6"/>
      <c r="Q161" s="6"/>
    </row>
    <row r="162" spans="1:17" x14ac:dyDescent="0.3">
      <c r="A162" s="6" t="s">
        <v>614</v>
      </c>
      <c r="B162" s="6"/>
      <c r="C162" s="6"/>
      <c r="D162" s="6"/>
      <c r="E162" s="6" t="str">
        <f>IF('Nation Wise Summary'!U162="", "", (C162/'Nation Wise Summary'!U162)*100)</f>
        <v/>
      </c>
      <c r="F162" s="6" t="str">
        <f>IF('Nation Non-Social Pop Demograph'!B162="", "", ('Nation-Wide Education Seg'!C162/'Nation Non-Social Pop Demograph'!B162)*10000)</f>
        <v/>
      </c>
      <c r="G162" s="6" t="str">
        <f>IF('Nation Non-Social Pop Demograph'!J162="", "", ('Nation-Wide Education Seg'!C162/'Nation Non-Social Pop Demograph'!J162)*10000)</f>
        <v/>
      </c>
      <c r="H162" s="6"/>
      <c r="I162" s="6"/>
      <c r="J162" s="6"/>
      <c r="K162" s="6" t="str">
        <f>IF('Nation Wise Summary'!U162="", "", 'Nation-Wide Education Seg'!H162/'Nation Wise Summary'!U162)</f>
        <v/>
      </c>
      <c r="L162" s="6" t="str">
        <f>IF('Nation Non-Social Pop Demograph'!B162="", "", ('Nation-Wide Education Seg'!H162/'Nation Non-Social Pop Demograph'!B162)*10000)</f>
        <v/>
      </c>
      <c r="M162" s="6" t="str">
        <f>IF('Nation Non-Social Pop Demograph'!N162="", "", ('Nation-Wide Education Seg'!H162/'Nation Non-Social Pop Demograph'!N162)*10000)</f>
        <v/>
      </c>
      <c r="N162" s="6"/>
      <c r="O162" s="6"/>
      <c r="P162" s="6"/>
      <c r="Q162" s="6"/>
    </row>
    <row r="163" spans="1:17" x14ac:dyDescent="0.3">
      <c r="A163" s="6" t="s">
        <v>615</v>
      </c>
      <c r="B163" s="6"/>
      <c r="C163" s="6"/>
      <c r="D163" s="6"/>
      <c r="E163" s="6" t="str">
        <f>IF('Nation Wise Summary'!U163="", "", (C163/'Nation Wise Summary'!U163)*100)</f>
        <v/>
      </c>
      <c r="F163" s="6" t="str">
        <f>IF('Nation Non-Social Pop Demograph'!B163="", "", ('Nation-Wide Education Seg'!C163/'Nation Non-Social Pop Demograph'!B163)*10000)</f>
        <v/>
      </c>
      <c r="G163" s="6" t="str">
        <f>IF('Nation Non-Social Pop Demograph'!J163="", "", ('Nation-Wide Education Seg'!C163/'Nation Non-Social Pop Demograph'!J163)*10000)</f>
        <v/>
      </c>
      <c r="H163" s="6"/>
      <c r="I163" s="6"/>
      <c r="J163" s="6"/>
      <c r="K163" s="6" t="str">
        <f>IF('Nation Wise Summary'!U163="", "", 'Nation-Wide Education Seg'!H163/'Nation Wise Summary'!U163)</f>
        <v/>
      </c>
      <c r="L163" s="6" t="str">
        <f>IF('Nation Non-Social Pop Demograph'!B163="", "", ('Nation-Wide Education Seg'!H163/'Nation Non-Social Pop Demograph'!B163)*10000)</f>
        <v/>
      </c>
      <c r="M163" s="6" t="str">
        <f>IF('Nation Non-Social Pop Demograph'!N163="", "", ('Nation-Wide Education Seg'!H163/'Nation Non-Social Pop Demograph'!N163)*10000)</f>
        <v/>
      </c>
      <c r="N163" s="6"/>
      <c r="O163" s="6"/>
      <c r="P163" s="6"/>
      <c r="Q163" s="6"/>
    </row>
    <row r="164" spans="1:17" x14ac:dyDescent="0.3">
      <c r="A164" s="6" t="s">
        <v>616</v>
      </c>
      <c r="B164" s="6"/>
      <c r="C164" s="6"/>
      <c r="D164" s="6"/>
      <c r="E164" s="6" t="str">
        <f>IF('Nation Wise Summary'!U164="", "", (C164/'Nation Wise Summary'!U164)*100)</f>
        <v/>
      </c>
      <c r="F164" s="6" t="str">
        <f>IF('Nation Non-Social Pop Demograph'!B164="", "", ('Nation-Wide Education Seg'!C164/'Nation Non-Social Pop Demograph'!B164)*10000)</f>
        <v/>
      </c>
      <c r="G164" s="6" t="str">
        <f>IF('Nation Non-Social Pop Demograph'!J164="", "", ('Nation-Wide Education Seg'!C164/'Nation Non-Social Pop Demograph'!J164)*10000)</f>
        <v/>
      </c>
      <c r="H164" s="6"/>
      <c r="I164" s="6"/>
      <c r="J164" s="6"/>
      <c r="K164" s="6" t="str">
        <f>IF('Nation Wise Summary'!U164="", "", 'Nation-Wide Education Seg'!H164/'Nation Wise Summary'!U164)</f>
        <v/>
      </c>
      <c r="L164" s="6" t="str">
        <f>IF('Nation Non-Social Pop Demograph'!B164="", "", ('Nation-Wide Education Seg'!H164/'Nation Non-Social Pop Demograph'!B164)*10000)</f>
        <v/>
      </c>
      <c r="M164" s="6" t="str">
        <f>IF('Nation Non-Social Pop Demograph'!N164="", "", ('Nation-Wide Education Seg'!H164/'Nation Non-Social Pop Demograph'!N164)*10000)</f>
        <v/>
      </c>
      <c r="N164" s="6"/>
      <c r="O164" s="6"/>
      <c r="P164" s="6"/>
      <c r="Q164" s="6"/>
    </row>
    <row r="165" spans="1:17" x14ac:dyDescent="0.3">
      <c r="A165" s="6" t="s">
        <v>617</v>
      </c>
      <c r="B165" s="6"/>
      <c r="C165" s="6"/>
      <c r="D165" s="6"/>
      <c r="E165" s="6" t="str">
        <f>IF('Nation Wise Summary'!U165="", "", (C165/'Nation Wise Summary'!U165)*100)</f>
        <v/>
      </c>
      <c r="F165" s="6" t="str">
        <f>IF('Nation Non-Social Pop Demograph'!B165="", "", ('Nation-Wide Education Seg'!C165/'Nation Non-Social Pop Demograph'!B165)*10000)</f>
        <v/>
      </c>
      <c r="G165" s="6" t="str">
        <f>IF('Nation Non-Social Pop Demograph'!J165="", "", ('Nation-Wide Education Seg'!C165/'Nation Non-Social Pop Demograph'!J165)*10000)</f>
        <v/>
      </c>
      <c r="H165" s="6"/>
      <c r="I165" s="6"/>
      <c r="J165" s="6"/>
      <c r="K165" s="6" t="str">
        <f>IF('Nation Wise Summary'!U165="", "", 'Nation-Wide Education Seg'!H165/'Nation Wise Summary'!U165)</f>
        <v/>
      </c>
      <c r="L165" s="6" t="str">
        <f>IF('Nation Non-Social Pop Demograph'!B165="", "", ('Nation-Wide Education Seg'!H165/'Nation Non-Social Pop Demograph'!B165)*10000)</f>
        <v/>
      </c>
      <c r="M165" s="6" t="str">
        <f>IF('Nation Non-Social Pop Demograph'!N165="", "", ('Nation-Wide Education Seg'!H165/'Nation Non-Social Pop Demograph'!N165)*10000)</f>
        <v/>
      </c>
      <c r="N165" s="6"/>
      <c r="O165" s="6"/>
      <c r="P165" s="6"/>
      <c r="Q165" s="6"/>
    </row>
    <row r="166" spans="1:17" x14ac:dyDescent="0.3">
      <c r="A166" s="6" t="s">
        <v>618</v>
      </c>
      <c r="B166" s="6"/>
      <c r="C166" s="6"/>
      <c r="D166" s="6"/>
      <c r="E166" s="6" t="str">
        <f>IF('Nation Wise Summary'!U166="", "", (C166/'Nation Wise Summary'!U166)*100)</f>
        <v/>
      </c>
      <c r="F166" s="6" t="str">
        <f>IF('Nation Non-Social Pop Demograph'!B166="", "", ('Nation-Wide Education Seg'!C166/'Nation Non-Social Pop Demograph'!B166)*10000)</f>
        <v/>
      </c>
      <c r="G166" s="6" t="str">
        <f>IF('Nation Non-Social Pop Demograph'!J166="", "", ('Nation-Wide Education Seg'!C166/'Nation Non-Social Pop Demograph'!J166)*10000)</f>
        <v/>
      </c>
      <c r="H166" s="6"/>
      <c r="I166" s="6"/>
      <c r="J166" s="6"/>
      <c r="K166" s="6" t="str">
        <f>IF('Nation Wise Summary'!U166="", "", 'Nation-Wide Education Seg'!H166/'Nation Wise Summary'!U166)</f>
        <v/>
      </c>
      <c r="L166" s="6" t="str">
        <f>IF('Nation Non-Social Pop Demograph'!B166="", "", ('Nation-Wide Education Seg'!H166/'Nation Non-Social Pop Demograph'!B166)*10000)</f>
        <v/>
      </c>
      <c r="M166" s="6" t="str">
        <f>IF('Nation Non-Social Pop Demograph'!N166="", "", ('Nation-Wide Education Seg'!H166/'Nation Non-Social Pop Demograph'!N166)*10000)</f>
        <v/>
      </c>
      <c r="N166" s="6"/>
      <c r="O166" s="6"/>
      <c r="P166" s="6"/>
      <c r="Q166" s="6"/>
    </row>
    <row r="167" spans="1:17" x14ac:dyDescent="0.3">
      <c r="A167" s="6" t="s">
        <v>619</v>
      </c>
      <c r="B167" s="6"/>
      <c r="C167" s="6"/>
      <c r="D167" s="6"/>
      <c r="E167" s="6" t="str">
        <f>IF('Nation Wise Summary'!U167="", "", (C167/'Nation Wise Summary'!U167)*100)</f>
        <v/>
      </c>
      <c r="F167" s="6" t="str">
        <f>IF('Nation Non-Social Pop Demograph'!B167="", "", ('Nation-Wide Education Seg'!C167/'Nation Non-Social Pop Demograph'!B167)*10000)</f>
        <v/>
      </c>
      <c r="G167" s="6" t="str">
        <f>IF('Nation Non-Social Pop Demograph'!J167="", "", ('Nation-Wide Education Seg'!C167/'Nation Non-Social Pop Demograph'!J167)*10000)</f>
        <v/>
      </c>
      <c r="H167" s="6"/>
      <c r="I167" s="6"/>
      <c r="J167" s="6"/>
      <c r="K167" s="6" t="str">
        <f>IF('Nation Wise Summary'!U167="", "", 'Nation-Wide Education Seg'!H167/'Nation Wise Summary'!U167)</f>
        <v/>
      </c>
      <c r="L167" s="6" t="str">
        <f>IF('Nation Non-Social Pop Demograph'!B167="", "", ('Nation-Wide Education Seg'!H167/'Nation Non-Social Pop Demograph'!B167)*10000)</f>
        <v/>
      </c>
      <c r="M167" s="6" t="str">
        <f>IF('Nation Non-Social Pop Demograph'!N167="", "", ('Nation-Wide Education Seg'!H167/'Nation Non-Social Pop Demograph'!N167)*10000)</f>
        <v/>
      </c>
      <c r="N167" s="6"/>
      <c r="O167" s="6"/>
      <c r="P167" s="6"/>
      <c r="Q167" s="6"/>
    </row>
    <row r="168" spans="1:17" x14ac:dyDescent="0.3">
      <c r="A168" s="6" t="s">
        <v>620</v>
      </c>
      <c r="B168" s="6"/>
      <c r="C168" s="6"/>
      <c r="D168" s="6"/>
      <c r="E168" s="6" t="str">
        <f>IF('Nation Wise Summary'!U168="", "", (C168/'Nation Wise Summary'!U168)*100)</f>
        <v/>
      </c>
      <c r="F168" s="6" t="str">
        <f>IF('Nation Non-Social Pop Demograph'!B168="", "", ('Nation-Wide Education Seg'!C168/'Nation Non-Social Pop Demograph'!B168)*10000)</f>
        <v/>
      </c>
      <c r="G168" s="6" t="str">
        <f>IF('Nation Non-Social Pop Demograph'!J168="", "", ('Nation-Wide Education Seg'!C168/'Nation Non-Social Pop Demograph'!J168)*10000)</f>
        <v/>
      </c>
      <c r="H168" s="6"/>
      <c r="I168" s="6"/>
      <c r="J168" s="6"/>
      <c r="K168" s="6" t="str">
        <f>IF('Nation Wise Summary'!U168="", "", 'Nation-Wide Education Seg'!H168/'Nation Wise Summary'!U168)</f>
        <v/>
      </c>
      <c r="L168" s="6" t="str">
        <f>IF('Nation Non-Social Pop Demograph'!B168="", "", ('Nation-Wide Education Seg'!H168/'Nation Non-Social Pop Demograph'!B168)*10000)</f>
        <v/>
      </c>
      <c r="M168" s="6" t="str">
        <f>IF('Nation Non-Social Pop Demograph'!N168="", "", ('Nation-Wide Education Seg'!H168/'Nation Non-Social Pop Demograph'!N168)*10000)</f>
        <v/>
      </c>
      <c r="N168" s="6"/>
      <c r="O168" s="6"/>
      <c r="P168" s="6"/>
      <c r="Q168" s="6"/>
    </row>
    <row r="169" spans="1:17" x14ac:dyDescent="0.3">
      <c r="A169" s="6" t="s">
        <v>621</v>
      </c>
      <c r="B169" s="6"/>
      <c r="C169" s="6"/>
      <c r="D169" s="6"/>
      <c r="E169" s="6" t="str">
        <f>IF('Nation Wise Summary'!U169="", "", (C169/'Nation Wise Summary'!U169)*100)</f>
        <v/>
      </c>
      <c r="F169" s="6" t="str">
        <f>IF('Nation Non-Social Pop Demograph'!B169="", "", ('Nation-Wide Education Seg'!C169/'Nation Non-Social Pop Demograph'!B169)*10000)</f>
        <v/>
      </c>
      <c r="G169" s="6" t="str">
        <f>IF('Nation Non-Social Pop Demograph'!J169="", "", ('Nation-Wide Education Seg'!C169/'Nation Non-Social Pop Demograph'!J169)*10000)</f>
        <v/>
      </c>
      <c r="H169" s="6"/>
      <c r="I169" s="6"/>
      <c r="J169" s="6"/>
      <c r="K169" s="6" t="str">
        <f>IF('Nation Wise Summary'!U169="", "", 'Nation-Wide Education Seg'!H169/'Nation Wise Summary'!U169)</f>
        <v/>
      </c>
      <c r="L169" s="6" t="str">
        <f>IF('Nation Non-Social Pop Demograph'!B169="", "", ('Nation-Wide Education Seg'!H169/'Nation Non-Social Pop Demograph'!B169)*10000)</f>
        <v/>
      </c>
      <c r="M169" s="6" t="str">
        <f>IF('Nation Non-Social Pop Demograph'!N169="", "", ('Nation-Wide Education Seg'!H169/'Nation Non-Social Pop Demograph'!N169)*10000)</f>
        <v/>
      </c>
      <c r="N169" s="6"/>
      <c r="O169" s="6"/>
      <c r="P169" s="6"/>
      <c r="Q169" s="6"/>
    </row>
    <row r="170" spans="1:17" x14ac:dyDescent="0.3">
      <c r="A170" s="6" t="s">
        <v>622</v>
      </c>
      <c r="B170" s="6"/>
      <c r="C170" s="6"/>
      <c r="D170" s="6"/>
      <c r="E170" s="6" t="str">
        <f>IF('Nation Wise Summary'!U170="", "", (C170/'Nation Wise Summary'!U170)*100)</f>
        <v/>
      </c>
      <c r="F170" s="6" t="str">
        <f>IF('Nation Non-Social Pop Demograph'!B170="", "", ('Nation-Wide Education Seg'!C170/'Nation Non-Social Pop Demograph'!B170)*10000)</f>
        <v/>
      </c>
      <c r="G170" s="6" t="str">
        <f>IF('Nation Non-Social Pop Demograph'!J170="", "", ('Nation-Wide Education Seg'!C170/'Nation Non-Social Pop Demograph'!J170)*10000)</f>
        <v/>
      </c>
      <c r="H170" s="6"/>
      <c r="I170" s="6"/>
      <c r="J170" s="6"/>
      <c r="K170" s="6" t="str">
        <f>IF('Nation Wise Summary'!U170="", "", 'Nation-Wide Education Seg'!H170/'Nation Wise Summary'!U170)</f>
        <v/>
      </c>
      <c r="L170" s="6" t="str">
        <f>IF('Nation Non-Social Pop Demograph'!B170="", "", ('Nation-Wide Education Seg'!H170/'Nation Non-Social Pop Demograph'!B170)*10000)</f>
        <v/>
      </c>
      <c r="M170" s="6" t="str">
        <f>IF('Nation Non-Social Pop Demograph'!N170="", "", ('Nation-Wide Education Seg'!H170/'Nation Non-Social Pop Demograph'!N170)*10000)</f>
        <v/>
      </c>
      <c r="N170" s="6"/>
      <c r="O170" s="6"/>
      <c r="P170" s="6"/>
      <c r="Q170" s="6"/>
    </row>
    <row r="171" spans="1:17" x14ac:dyDescent="0.3">
      <c r="A171" s="6" t="s">
        <v>623</v>
      </c>
      <c r="B171" s="6"/>
      <c r="C171" s="6"/>
      <c r="D171" s="6"/>
      <c r="E171" s="6" t="str">
        <f>IF('Nation Wise Summary'!U171="", "", (C171/'Nation Wise Summary'!U171)*100)</f>
        <v/>
      </c>
      <c r="F171" s="6" t="str">
        <f>IF('Nation Non-Social Pop Demograph'!B171="", "", ('Nation-Wide Education Seg'!C171/'Nation Non-Social Pop Demograph'!B171)*10000)</f>
        <v/>
      </c>
      <c r="G171" s="6" t="str">
        <f>IF('Nation Non-Social Pop Demograph'!J171="", "", ('Nation-Wide Education Seg'!C171/'Nation Non-Social Pop Demograph'!J171)*10000)</f>
        <v/>
      </c>
      <c r="H171" s="6"/>
      <c r="I171" s="6"/>
      <c r="J171" s="6"/>
      <c r="K171" s="6" t="str">
        <f>IF('Nation Wise Summary'!U171="", "", 'Nation-Wide Education Seg'!H171/'Nation Wise Summary'!U171)</f>
        <v/>
      </c>
      <c r="L171" s="6" t="str">
        <f>IF('Nation Non-Social Pop Demograph'!B171="", "", ('Nation-Wide Education Seg'!H171/'Nation Non-Social Pop Demograph'!B171)*10000)</f>
        <v/>
      </c>
      <c r="M171" s="6" t="str">
        <f>IF('Nation Non-Social Pop Demograph'!N171="", "", ('Nation-Wide Education Seg'!H171/'Nation Non-Social Pop Demograph'!N171)*10000)</f>
        <v/>
      </c>
      <c r="N171" s="6"/>
      <c r="O171" s="6"/>
      <c r="P171" s="6"/>
      <c r="Q171" s="6"/>
    </row>
    <row r="172" spans="1:17" x14ac:dyDescent="0.3">
      <c r="A172" s="6" t="s">
        <v>624</v>
      </c>
      <c r="B172" s="6"/>
      <c r="C172" s="6"/>
      <c r="D172" s="6"/>
      <c r="E172" s="6" t="str">
        <f>IF('Nation Wise Summary'!U172="", "", (C172/'Nation Wise Summary'!U172)*100)</f>
        <v/>
      </c>
      <c r="F172" s="6" t="str">
        <f>IF('Nation Non-Social Pop Demograph'!B172="", "", ('Nation-Wide Education Seg'!C172/'Nation Non-Social Pop Demograph'!B172)*10000)</f>
        <v/>
      </c>
      <c r="G172" s="6" t="str">
        <f>IF('Nation Non-Social Pop Demograph'!J172="", "", ('Nation-Wide Education Seg'!C172/'Nation Non-Social Pop Demograph'!J172)*10000)</f>
        <v/>
      </c>
      <c r="H172" s="6"/>
      <c r="I172" s="6"/>
      <c r="J172" s="6"/>
      <c r="K172" s="6" t="str">
        <f>IF('Nation Wise Summary'!U172="", "", 'Nation-Wide Education Seg'!H172/'Nation Wise Summary'!U172)</f>
        <v/>
      </c>
      <c r="L172" s="6" t="str">
        <f>IF('Nation Non-Social Pop Demograph'!B172="", "", ('Nation-Wide Education Seg'!H172/'Nation Non-Social Pop Demograph'!B172)*10000)</f>
        <v/>
      </c>
      <c r="M172" s="6" t="str">
        <f>IF('Nation Non-Social Pop Demograph'!N172="", "", ('Nation-Wide Education Seg'!H172/'Nation Non-Social Pop Demograph'!N172)*10000)</f>
        <v/>
      </c>
      <c r="N172" s="6"/>
      <c r="O172" s="6"/>
      <c r="P172" s="6"/>
      <c r="Q172" s="6"/>
    </row>
    <row r="173" spans="1:17" x14ac:dyDescent="0.3">
      <c r="A173" s="6" t="s">
        <v>625</v>
      </c>
      <c r="B173" s="6"/>
      <c r="C173" s="6"/>
      <c r="D173" s="6"/>
      <c r="E173" s="6" t="str">
        <f>IF('Nation Wise Summary'!U173="", "", (C173/'Nation Wise Summary'!U173)*100)</f>
        <v/>
      </c>
      <c r="F173" s="6" t="str">
        <f>IF('Nation Non-Social Pop Demograph'!B173="", "", ('Nation-Wide Education Seg'!C173/'Nation Non-Social Pop Demograph'!B173)*10000)</f>
        <v/>
      </c>
      <c r="G173" s="6" t="str">
        <f>IF('Nation Non-Social Pop Demograph'!J173="", "", ('Nation-Wide Education Seg'!C173/'Nation Non-Social Pop Demograph'!J173)*10000)</f>
        <v/>
      </c>
      <c r="H173" s="6"/>
      <c r="I173" s="6"/>
      <c r="J173" s="6"/>
      <c r="K173" s="6" t="str">
        <f>IF('Nation Wise Summary'!U173="", "", 'Nation-Wide Education Seg'!H173/'Nation Wise Summary'!U173)</f>
        <v/>
      </c>
      <c r="L173" s="6" t="str">
        <f>IF('Nation Non-Social Pop Demograph'!B173="", "", ('Nation-Wide Education Seg'!H173/'Nation Non-Social Pop Demograph'!B173)*10000)</f>
        <v/>
      </c>
      <c r="M173" s="6" t="str">
        <f>IF('Nation Non-Social Pop Demograph'!N173="", "", ('Nation-Wide Education Seg'!H173/'Nation Non-Social Pop Demograph'!N173)*10000)</f>
        <v/>
      </c>
      <c r="N173" s="6"/>
      <c r="O173" s="6"/>
      <c r="P173" s="6"/>
      <c r="Q173" s="6"/>
    </row>
    <row r="174" spans="1:17" x14ac:dyDescent="0.3">
      <c r="A174" s="6" t="s">
        <v>626</v>
      </c>
      <c r="B174" s="6"/>
      <c r="C174" s="6"/>
      <c r="D174" s="6"/>
      <c r="E174" s="6" t="str">
        <f>IF('Nation Wise Summary'!U174="", "", (C174/'Nation Wise Summary'!U174)*100)</f>
        <v/>
      </c>
      <c r="F174" s="6" t="str">
        <f>IF('Nation Non-Social Pop Demograph'!B174="", "", ('Nation-Wide Education Seg'!C174/'Nation Non-Social Pop Demograph'!B174)*10000)</f>
        <v/>
      </c>
      <c r="G174" s="6" t="str">
        <f>IF('Nation Non-Social Pop Demograph'!J174="", "", ('Nation-Wide Education Seg'!C174/'Nation Non-Social Pop Demograph'!J174)*10000)</f>
        <v/>
      </c>
      <c r="H174" s="6"/>
      <c r="I174" s="6"/>
      <c r="J174" s="6"/>
      <c r="K174" s="6" t="str">
        <f>IF('Nation Wise Summary'!U174="", "", 'Nation-Wide Education Seg'!H174/'Nation Wise Summary'!U174)</f>
        <v/>
      </c>
      <c r="L174" s="6" t="str">
        <f>IF('Nation Non-Social Pop Demograph'!B174="", "", ('Nation-Wide Education Seg'!H174/'Nation Non-Social Pop Demograph'!B174)*10000)</f>
        <v/>
      </c>
      <c r="M174" s="6" t="str">
        <f>IF('Nation Non-Social Pop Demograph'!N174="", "", ('Nation-Wide Education Seg'!H174/'Nation Non-Social Pop Demograph'!N174)*10000)</f>
        <v/>
      </c>
      <c r="N174" s="6"/>
      <c r="O174" s="6"/>
      <c r="P174" s="6"/>
      <c r="Q174" s="6"/>
    </row>
    <row r="175" spans="1:17" x14ac:dyDescent="0.3">
      <c r="A175" s="6" t="s">
        <v>627</v>
      </c>
      <c r="B175" s="6"/>
      <c r="C175" s="6"/>
      <c r="D175" s="6"/>
      <c r="E175" s="6" t="str">
        <f>IF('Nation Wise Summary'!U175="", "", (C175/'Nation Wise Summary'!U175)*100)</f>
        <v/>
      </c>
      <c r="F175" s="6" t="str">
        <f>IF('Nation Non-Social Pop Demograph'!B175="", "", ('Nation-Wide Education Seg'!C175/'Nation Non-Social Pop Demograph'!B175)*10000)</f>
        <v/>
      </c>
      <c r="G175" s="6" t="str">
        <f>IF('Nation Non-Social Pop Demograph'!J175="", "", ('Nation-Wide Education Seg'!C175/'Nation Non-Social Pop Demograph'!J175)*10000)</f>
        <v/>
      </c>
      <c r="H175" s="6"/>
      <c r="I175" s="6"/>
      <c r="J175" s="6"/>
      <c r="K175" s="6" t="str">
        <f>IF('Nation Wise Summary'!U175="", "", 'Nation-Wide Education Seg'!H175/'Nation Wise Summary'!U175)</f>
        <v/>
      </c>
      <c r="L175" s="6" t="str">
        <f>IF('Nation Non-Social Pop Demograph'!B175="", "", ('Nation-Wide Education Seg'!H175/'Nation Non-Social Pop Demograph'!B175)*10000)</f>
        <v/>
      </c>
      <c r="M175" s="6" t="str">
        <f>IF('Nation Non-Social Pop Demograph'!N175="", "", ('Nation-Wide Education Seg'!H175/'Nation Non-Social Pop Demograph'!N175)*10000)</f>
        <v/>
      </c>
      <c r="N175" s="6"/>
      <c r="O175" s="6"/>
      <c r="P175" s="6"/>
      <c r="Q175" s="6"/>
    </row>
    <row r="176" spans="1:17" x14ac:dyDescent="0.3">
      <c r="A176" s="6" t="s">
        <v>628</v>
      </c>
      <c r="B176" s="6"/>
      <c r="C176" s="6"/>
      <c r="D176" s="6"/>
      <c r="E176" s="6" t="str">
        <f>IF('Nation Wise Summary'!U176="", "", (C176/'Nation Wise Summary'!U176)*100)</f>
        <v/>
      </c>
      <c r="F176" s="6" t="str">
        <f>IF('Nation Non-Social Pop Demograph'!B176="", "", ('Nation-Wide Education Seg'!C176/'Nation Non-Social Pop Demograph'!B176)*10000)</f>
        <v/>
      </c>
      <c r="G176" s="6" t="str">
        <f>IF('Nation Non-Social Pop Demograph'!J176="", "", ('Nation-Wide Education Seg'!C176/'Nation Non-Social Pop Demograph'!J176)*10000)</f>
        <v/>
      </c>
      <c r="H176" s="6"/>
      <c r="I176" s="6"/>
      <c r="J176" s="6"/>
      <c r="K176" s="6" t="str">
        <f>IF('Nation Wise Summary'!U176="", "", 'Nation-Wide Education Seg'!H176/'Nation Wise Summary'!U176)</f>
        <v/>
      </c>
      <c r="L176" s="6" t="str">
        <f>IF('Nation Non-Social Pop Demograph'!B176="", "", ('Nation-Wide Education Seg'!H176/'Nation Non-Social Pop Demograph'!B176)*10000)</f>
        <v/>
      </c>
      <c r="M176" s="6" t="str">
        <f>IF('Nation Non-Social Pop Demograph'!N176="", "", ('Nation-Wide Education Seg'!H176/'Nation Non-Social Pop Demograph'!N176)*10000)</f>
        <v/>
      </c>
      <c r="N176" s="6"/>
      <c r="O176" s="6"/>
      <c r="P176" s="6"/>
      <c r="Q176" s="6"/>
    </row>
    <row r="177" spans="1:17" x14ac:dyDescent="0.3">
      <c r="A177" s="6" t="s">
        <v>629</v>
      </c>
      <c r="B177" s="6"/>
      <c r="C177" s="6"/>
      <c r="D177" s="6"/>
      <c r="E177" s="6" t="str">
        <f>IF('Nation Wise Summary'!U177="", "", (C177/'Nation Wise Summary'!U177)*100)</f>
        <v/>
      </c>
      <c r="F177" s="6" t="str">
        <f>IF('Nation Non-Social Pop Demograph'!B177="", "", ('Nation-Wide Education Seg'!C177/'Nation Non-Social Pop Demograph'!B177)*10000)</f>
        <v/>
      </c>
      <c r="G177" s="6" t="str">
        <f>IF('Nation Non-Social Pop Demograph'!J177="", "", ('Nation-Wide Education Seg'!C177/'Nation Non-Social Pop Demograph'!J177)*10000)</f>
        <v/>
      </c>
      <c r="H177" s="6"/>
      <c r="I177" s="6"/>
      <c r="J177" s="6"/>
      <c r="K177" s="6" t="str">
        <f>IF('Nation Wise Summary'!U177="", "", 'Nation-Wide Education Seg'!H177/'Nation Wise Summary'!U177)</f>
        <v/>
      </c>
      <c r="L177" s="6" t="str">
        <f>IF('Nation Non-Social Pop Demograph'!B177="", "", ('Nation-Wide Education Seg'!H177/'Nation Non-Social Pop Demograph'!B177)*10000)</f>
        <v/>
      </c>
      <c r="M177" s="6" t="str">
        <f>IF('Nation Non-Social Pop Demograph'!N177="", "", ('Nation-Wide Education Seg'!H177/'Nation Non-Social Pop Demograph'!N177)*10000)</f>
        <v/>
      </c>
      <c r="N177" s="6"/>
      <c r="O177" s="6"/>
      <c r="P177" s="6"/>
      <c r="Q177" s="6"/>
    </row>
    <row r="178" spans="1:17" x14ac:dyDescent="0.3">
      <c r="A178" s="6" t="s">
        <v>630</v>
      </c>
      <c r="B178" s="6"/>
      <c r="C178" s="6"/>
      <c r="D178" s="6"/>
      <c r="E178" s="6" t="str">
        <f>IF('Nation Wise Summary'!U178="", "", (C178/'Nation Wise Summary'!U178)*100)</f>
        <v/>
      </c>
      <c r="F178" s="6" t="str">
        <f>IF('Nation Non-Social Pop Demograph'!B178="", "", ('Nation-Wide Education Seg'!C178/'Nation Non-Social Pop Demograph'!B178)*10000)</f>
        <v/>
      </c>
      <c r="G178" s="6" t="str">
        <f>IF('Nation Non-Social Pop Demograph'!J178="", "", ('Nation-Wide Education Seg'!C178/'Nation Non-Social Pop Demograph'!J178)*10000)</f>
        <v/>
      </c>
      <c r="H178" s="6"/>
      <c r="I178" s="6"/>
      <c r="J178" s="6"/>
      <c r="K178" s="6" t="str">
        <f>IF('Nation Wise Summary'!U178="", "", 'Nation-Wide Education Seg'!H178/'Nation Wise Summary'!U178)</f>
        <v/>
      </c>
      <c r="L178" s="6" t="str">
        <f>IF('Nation Non-Social Pop Demograph'!B178="", "", ('Nation-Wide Education Seg'!H178/'Nation Non-Social Pop Demograph'!B178)*10000)</f>
        <v/>
      </c>
      <c r="M178" s="6" t="str">
        <f>IF('Nation Non-Social Pop Demograph'!N178="", "", ('Nation-Wide Education Seg'!H178/'Nation Non-Social Pop Demograph'!N178)*10000)</f>
        <v/>
      </c>
      <c r="N178" s="6"/>
      <c r="O178" s="6"/>
      <c r="P178" s="6"/>
      <c r="Q178" s="6"/>
    </row>
    <row r="179" spans="1:17" x14ac:dyDescent="0.3">
      <c r="A179" s="6" t="s">
        <v>631</v>
      </c>
      <c r="B179" s="6"/>
      <c r="C179" s="6"/>
      <c r="D179" s="6"/>
      <c r="E179" s="6" t="str">
        <f>IF('Nation Wise Summary'!U179="", "", (C179/'Nation Wise Summary'!U179)*100)</f>
        <v/>
      </c>
      <c r="F179" s="6" t="str">
        <f>IF('Nation Non-Social Pop Demograph'!B179="", "", ('Nation-Wide Education Seg'!C179/'Nation Non-Social Pop Demograph'!B179)*10000)</f>
        <v/>
      </c>
      <c r="G179" s="6" t="str">
        <f>IF('Nation Non-Social Pop Demograph'!J179="", "", ('Nation-Wide Education Seg'!C179/'Nation Non-Social Pop Demograph'!J179)*10000)</f>
        <v/>
      </c>
      <c r="H179" s="6"/>
      <c r="I179" s="6"/>
      <c r="J179" s="6"/>
      <c r="K179" s="6" t="str">
        <f>IF('Nation Wise Summary'!U179="", "", 'Nation-Wide Education Seg'!H179/'Nation Wise Summary'!U179)</f>
        <v/>
      </c>
      <c r="L179" s="6" t="str">
        <f>IF('Nation Non-Social Pop Demograph'!B179="", "", ('Nation-Wide Education Seg'!H179/'Nation Non-Social Pop Demograph'!B179)*10000)</f>
        <v/>
      </c>
      <c r="M179" s="6" t="str">
        <f>IF('Nation Non-Social Pop Demograph'!N179="", "", ('Nation-Wide Education Seg'!H179/'Nation Non-Social Pop Demograph'!N179)*10000)</f>
        <v/>
      </c>
      <c r="N179" s="6"/>
      <c r="O179" s="6"/>
      <c r="P179" s="6"/>
      <c r="Q179" s="6"/>
    </row>
    <row r="180" spans="1:17" x14ac:dyDescent="0.3">
      <c r="A180" s="6" t="s">
        <v>632</v>
      </c>
      <c r="B180" s="6"/>
      <c r="C180" s="6"/>
      <c r="D180" s="6"/>
      <c r="E180" s="6" t="str">
        <f>IF('Nation Wise Summary'!U180="", "", (C180/'Nation Wise Summary'!U180)*100)</f>
        <v/>
      </c>
      <c r="F180" s="6" t="str">
        <f>IF('Nation Non-Social Pop Demograph'!B180="", "", ('Nation-Wide Education Seg'!C180/'Nation Non-Social Pop Demograph'!B180)*10000)</f>
        <v/>
      </c>
      <c r="G180" s="6" t="str">
        <f>IF('Nation Non-Social Pop Demograph'!J180="", "", ('Nation-Wide Education Seg'!C180/'Nation Non-Social Pop Demograph'!J180)*10000)</f>
        <v/>
      </c>
      <c r="H180" s="6"/>
      <c r="I180" s="6"/>
      <c r="J180" s="6"/>
      <c r="K180" s="6" t="str">
        <f>IF('Nation Wise Summary'!U180="", "", 'Nation-Wide Education Seg'!H180/'Nation Wise Summary'!U180)</f>
        <v/>
      </c>
      <c r="L180" s="6" t="str">
        <f>IF('Nation Non-Social Pop Demograph'!B180="", "", ('Nation-Wide Education Seg'!H180/'Nation Non-Social Pop Demograph'!B180)*10000)</f>
        <v/>
      </c>
      <c r="M180" s="6" t="str">
        <f>IF('Nation Non-Social Pop Demograph'!N180="", "", ('Nation-Wide Education Seg'!H180/'Nation Non-Social Pop Demograph'!N180)*10000)</f>
        <v/>
      </c>
      <c r="N180" s="6"/>
      <c r="O180" s="6"/>
      <c r="P180" s="6"/>
      <c r="Q180" s="6"/>
    </row>
    <row r="181" spans="1:17" x14ac:dyDescent="0.3">
      <c r="A181" s="6" t="s">
        <v>633</v>
      </c>
      <c r="B181" s="6"/>
      <c r="C181" s="6"/>
      <c r="D181" s="6"/>
      <c r="E181" s="6" t="str">
        <f>IF('Nation Wise Summary'!U181="", "", (C181/'Nation Wise Summary'!U181)*100)</f>
        <v/>
      </c>
      <c r="F181" s="6" t="str">
        <f>IF('Nation Non-Social Pop Demograph'!B181="", "", ('Nation-Wide Education Seg'!C181/'Nation Non-Social Pop Demograph'!B181)*10000)</f>
        <v/>
      </c>
      <c r="G181" s="6" t="str">
        <f>IF('Nation Non-Social Pop Demograph'!J181="", "", ('Nation-Wide Education Seg'!C181/'Nation Non-Social Pop Demograph'!J181)*10000)</f>
        <v/>
      </c>
      <c r="H181" s="6"/>
      <c r="I181" s="6"/>
      <c r="J181" s="6"/>
      <c r="K181" s="6" t="str">
        <f>IF('Nation Wise Summary'!U181="", "", 'Nation-Wide Education Seg'!H181/'Nation Wise Summary'!U181)</f>
        <v/>
      </c>
      <c r="L181" s="6" t="str">
        <f>IF('Nation Non-Social Pop Demograph'!B181="", "", ('Nation-Wide Education Seg'!H181/'Nation Non-Social Pop Demograph'!B181)*10000)</f>
        <v/>
      </c>
      <c r="M181" s="6" t="str">
        <f>IF('Nation Non-Social Pop Demograph'!N181="", "", ('Nation-Wide Education Seg'!H181/'Nation Non-Social Pop Demograph'!N181)*10000)</f>
        <v/>
      </c>
      <c r="N181" s="6"/>
      <c r="O181" s="6"/>
      <c r="P181" s="6"/>
      <c r="Q181" s="6"/>
    </row>
    <row r="182" spans="1:17" x14ac:dyDescent="0.3">
      <c r="A182" s="6" t="s">
        <v>634</v>
      </c>
      <c r="B182" s="6"/>
      <c r="C182" s="6"/>
      <c r="D182" s="6"/>
      <c r="E182" s="6" t="str">
        <f>IF('Nation Wise Summary'!U182="", "", (C182/'Nation Wise Summary'!U182)*100)</f>
        <v/>
      </c>
      <c r="F182" s="6" t="str">
        <f>IF('Nation Non-Social Pop Demograph'!B182="", "", ('Nation-Wide Education Seg'!C182/'Nation Non-Social Pop Demograph'!B182)*10000)</f>
        <v/>
      </c>
      <c r="G182" s="6" t="str">
        <f>IF('Nation Non-Social Pop Demograph'!J182="", "", ('Nation-Wide Education Seg'!C182/'Nation Non-Social Pop Demograph'!J182)*10000)</f>
        <v/>
      </c>
      <c r="H182" s="6"/>
      <c r="I182" s="6"/>
      <c r="J182" s="6"/>
      <c r="K182" s="6" t="str">
        <f>IF('Nation Wise Summary'!U182="", "", 'Nation-Wide Education Seg'!H182/'Nation Wise Summary'!U182)</f>
        <v/>
      </c>
      <c r="L182" s="6" t="str">
        <f>IF('Nation Non-Social Pop Demograph'!B182="", "", ('Nation-Wide Education Seg'!H182/'Nation Non-Social Pop Demograph'!B182)*10000)</f>
        <v/>
      </c>
      <c r="M182" s="6" t="str">
        <f>IF('Nation Non-Social Pop Demograph'!N182="", "", ('Nation-Wide Education Seg'!H182/'Nation Non-Social Pop Demograph'!N182)*10000)</f>
        <v/>
      </c>
      <c r="N182" s="6"/>
      <c r="O182" s="6"/>
      <c r="P182" s="6"/>
      <c r="Q182" s="6"/>
    </row>
    <row r="183" spans="1:17" x14ac:dyDescent="0.3">
      <c r="A183" s="6" t="s">
        <v>635</v>
      </c>
      <c r="B183" s="6"/>
      <c r="C183" s="6"/>
      <c r="D183" s="6"/>
      <c r="E183" s="6" t="str">
        <f>IF('Nation Wise Summary'!U183="", "", (C183/'Nation Wise Summary'!U183)*100)</f>
        <v/>
      </c>
      <c r="F183" s="6" t="str">
        <f>IF('Nation Non-Social Pop Demograph'!B183="", "", ('Nation-Wide Education Seg'!C183/'Nation Non-Social Pop Demograph'!B183)*10000)</f>
        <v/>
      </c>
      <c r="G183" s="6" t="str">
        <f>IF('Nation Non-Social Pop Demograph'!J183="", "", ('Nation-Wide Education Seg'!C183/'Nation Non-Social Pop Demograph'!J183)*10000)</f>
        <v/>
      </c>
      <c r="H183" s="6"/>
      <c r="I183" s="6"/>
      <c r="J183" s="6"/>
      <c r="K183" s="6" t="str">
        <f>IF('Nation Wise Summary'!U183="", "", 'Nation-Wide Education Seg'!H183/'Nation Wise Summary'!U183)</f>
        <v/>
      </c>
      <c r="L183" s="6" t="str">
        <f>IF('Nation Non-Social Pop Demograph'!B183="", "", ('Nation-Wide Education Seg'!H183/'Nation Non-Social Pop Demograph'!B183)*10000)</f>
        <v/>
      </c>
      <c r="M183" s="6" t="str">
        <f>IF('Nation Non-Social Pop Demograph'!N183="", "", ('Nation-Wide Education Seg'!H183/'Nation Non-Social Pop Demograph'!N183)*10000)</f>
        <v/>
      </c>
      <c r="N183" s="6"/>
      <c r="O183" s="6"/>
      <c r="P183" s="6"/>
      <c r="Q183" s="6"/>
    </row>
    <row r="184" spans="1:17" x14ac:dyDescent="0.3">
      <c r="A184" s="6" t="s">
        <v>636</v>
      </c>
      <c r="B184" s="6"/>
      <c r="C184" s="6"/>
      <c r="D184" s="6"/>
      <c r="E184" s="6" t="str">
        <f>IF('Nation Wise Summary'!U184="", "", (C184/'Nation Wise Summary'!U184)*100)</f>
        <v/>
      </c>
      <c r="F184" s="6" t="str">
        <f>IF('Nation Non-Social Pop Demograph'!B184="", "", ('Nation-Wide Education Seg'!C184/'Nation Non-Social Pop Demograph'!B184)*10000)</f>
        <v/>
      </c>
      <c r="G184" s="6" t="str">
        <f>IF('Nation Non-Social Pop Demograph'!J184="", "", ('Nation-Wide Education Seg'!C184/'Nation Non-Social Pop Demograph'!J184)*10000)</f>
        <v/>
      </c>
      <c r="H184" s="6"/>
      <c r="I184" s="6"/>
      <c r="J184" s="6"/>
      <c r="K184" s="6" t="str">
        <f>IF('Nation Wise Summary'!U184="", "", 'Nation-Wide Education Seg'!H184/'Nation Wise Summary'!U184)</f>
        <v/>
      </c>
      <c r="L184" s="6" t="str">
        <f>IF('Nation Non-Social Pop Demograph'!B184="", "", ('Nation-Wide Education Seg'!H184/'Nation Non-Social Pop Demograph'!B184)*10000)</f>
        <v/>
      </c>
      <c r="M184" s="6" t="str">
        <f>IF('Nation Non-Social Pop Demograph'!N184="", "", ('Nation-Wide Education Seg'!H184/'Nation Non-Social Pop Demograph'!N184)*10000)</f>
        <v/>
      </c>
      <c r="N184" s="6"/>
      <c r="O184" s="6"/>
      <c r="P184" s="6"/>
      <c r="Q184" s="6"/>
    </row>
    <row r="185" spans="1:17" x14ac:dyDescent="0.3">
      <c r="A185" s="6" t="s">
        <v>637</v>
      </c>
      <c r="B185" s="6"/>
      <c r="C185" s="6"/>
      <c r="D185" s="6"/>
      <c r="E185" s="6" t="str">
        <f>IF('Nation Wise Summary'!U185="", "", (C185/'Nation Wise Summary'!U185)*100)</f>
        <v/>
      </c>
      <c r="F185" s="6" t="str">
        <f>IF('Nation Non-Social Pop Demograph'!B185="", "", ('Nation-Wide Education Seg'!C185/'Nation Non-Social Pop Demograph'!B185)*10000)</f>
        <v/>
      </c>
      <c r="G185" s="6" t="str">
        <f>IF('Nation Non-Social Pop Demograph'!J185="", "", ('Nation-Wide Education Seg'!C185/'Nation Non-Social Pop Demograph'!J185)*10000)</f>
        <v/>
      </c>
      <c r="H185" s="6"/>
      <c r="I185" s="6"/>
      <c r="J185" s="6"/>
      <c r="K185" s="6" t="str">
        <f>IF('Nation Wise Summary'!U185="", "", 'Nation-Wide Education Seg'!H185/'Nation Wise Summary'!U185)</f>
        <v/>
      </c>
      <c r="L185" s="6" t="str">
        <f>IF('Nation Non-Social Pop Demograph'!B185="", "", ('Nation-Wide Education Seg'!H185/'Nation Non-Social Pop Demograph'!B185)*10000)</f>
        <v/>
      </c>
      <c r="M185" s="6" t="str">
        <f>IF('Nation Non-Social Pop Demograph'!N185="", "", ('Nation-Wide Education Seg'!H185/'Nation Non-Social Pop Demograph'!N185)*10000)</f>
        <v/>
      </c>
      <c r="N185" s="6"/>
      <c r="O185" s="6"/>
      <c r="P185" s="6"/>
      <c r="Q185" s="6"/>
    </row>
    <row r="186" spans="1:17" x14ac:dyDescent="0.3">
      <c r="A186" s="6" t="s">
        <v>638</v>
      </c>
      <c r="B186" s="6"/>
      <c r="C186" s="6"/>
      <c r="D186" s="6"/>
      <c r="E186" s="6" t="str">
        <f>IF('Nation Wise Summary'!U186="", "", (C186/'Nation Wise Summary'!U186)*100)</f>
        <v/>
      </c>
      <c r="F186" s="6" t="str">
        <f>IF('Nation Non-Social Pop Demograph'!B186="", "", ('Nation-Wide Education Seg'!C186/'Nation Non-Social Pop Demograph'!B186)*10000)</f>
        <v/>
      </c>
      <c r="G186" s="6" t="str">
        <f>IF('Nation Non-Social Pop Demograph'!J186="", "", ('Nation-Wide Education Seg'!C186/'Nation Non-Social Pop Demograph'!J186)*10000)</f>
        <v/>
      </c>
      <c r="H186" s="6"/>
      <c r="I186" s="6"/>
      <c r="J186" s="6"/>
      <c r="K186" s="6" t="str">
        <f>IF('Nation Wise Summary'!U186="", "", 'Nation-Wide Education Seg'!H186/'Nation Wise Summary'!U186)</f>
        <v/>
      </c>
      <c r="L186" s="6" t="str">
        <f>IF('Nation Non-Social Pop Demograph'!B186="", "", ('Nation-Wide Education Seg'!H186/'Nation Non-Social Pop Demograph'!B186)*10000)</f>
        <v/>
      </c>
      <c r="M186" s="6" t="str">
        <f>IF('Nation Non-Social Pop Demograph'!N186="", "", ('Nation-Wide Education Seg'!H186/'Nation Non-Social Pop Demograph'!N186)*10000)</f>
        <v/>
      </c>
      <c r="N186" s="6"/>
      <c r="O186" s="6"/>
      <c r="P186" s="6"/>
      <c r="Q186" s="6"/>
    </row>
    <row r="187" spans="1:17" x14ac:dyDescent="0.3">
      <c r="A187" s="6" t="s">
        <v>639</v>
      </c>
      <c r="B187" s="6"/>
      <c r="C187" s="6"/>
      <c r="D187" s="6"/>
      <c r="E187" s="6" t="str">
        <f>IF('Nation Wise Summary'!U187="", "", (C187/'Nation Wise Summary'!U187)*100)</f>
        <v/>
      </c>
      <c r="F187" s="6" t="str">
        <f>IF('Nation Non-Social Pop Demograph'!B187="", "", ('Nation-Wide Education Seg'!C187/'Nation Non-Social Pop Demograph'!B187)*10000)</f>
        <v/>
      </c>
      <c r="G187" s="6" t="str">
        <f>IF('Nation Non-Social Pop Demograph'!J187="", "", ('Nation-Wide Education Seg'!C187/'Nation Non-Social Pop Demograph'!J187)*10000)</f>
        <v/>
      </c>
      <c r="H187" s="6"/>
      <c r="I187" s="6"/>
      <c r="J187" s="6"/>
      <c r="K187" s="6" t="str">
        <f>IF('Nation Wise Summary'!U187="", "", 'Nation-Wide Education Seg'!H187/'Nation Wise Summary'!U187)</f>
        <v/>
      </c>
      <c r="L187" s="6" t="str">
        <f>IF('Nation Non-Social Pop Demograph'!B187="", "", ('Nation-Wide Education Seg'!H187/'Nation Non-Social Pop Demograph'!B187)*10000)</f>
        <v/>
      </c>
      <c r="M187" s="6" t="str">
        <f>IF('Nation Non-Social Pop Demograph'!N187="", "", ('Nation-Wide Education Seg'!H187/'Nation Non-Social Pop Demograph'!N187)*10000)</f>
        <v/>
      </c>
      <c r="N187" s="6"/>
      <c r="O187" s="6"/>
      <c r="P187" s="6"/>
      <c r="Q187" s="6"/>
    </row>
    <row r="188" spans="1:17" x14ac:dyDescent="0.3">
      <c r="A188" s="6" t="s">
        <v>640</v>
      </c>
      <c r="B188" s="6"/>
      <c r="C188" s="6"/>
      <c r="D188" s="6"/>
      <c r="E188" s="6" t="str">
        <f>IF('Nation Wise Summary'!U188="", "", (C188/'Nation Wise Summary'!U188)*100)</f>
        <v/>
      </c>
      <c r="F188" s="6" t="str">
        <f>IF('Nation Non-Social Pop Demograph'!B188="", "", ('Nation-Wide Education Seg'!C188/'Nation Non-Social Pop Demograph'!B188)*10000)</f>
        <v/>
      </c>
      <c r="G188" s="6" t="str">
        <f>IF('Nation Non-Social Pop Demograph'!J188="", "", ('Nation-Wide Education Seg'!C188/'Nation Non-Social Pop Demograph'!J188)*10000)</f>
        <v/>
      </c>
      <c r="H188" s="6"/>
      <c r="I188" s="6"/>
      <c r="J188" s="6"/>
      <c r="K188" s="6" t="str">
        <f>IF('Nation Wise Summary'!U188="", "", 'Nation-Wide Education Seg'!H188/'Nation Wise Summary'!U188)</f>
        <v/>
      </c>
      <c r="L188" s="6" t="str">
        <f>IF('Nation Non-Social Pop Demograph'!B188="", "", ('Nation-Wide Education Seg'!H188/'Nation Non-Social Pop Demograph'!B188)*10000)</f>
        <v/>
      </c>
      <c r="M188" s="6" t="str">
        <f>IF('Nation Non-Social Pop Demograph'!N188="", "", ('Nation-Wide Education Seg'!H188/'Nation Non-Social Pop Demograph'!N188)*10000)</f>
        <v/>
      </c>
      <c r="N188" s="6"/>
      <c r="O188" s="6"/>
      <c r="P188" s="6"/>
      <c r="Q188" s="6"/>
    </row>
    <row r="189" spans="1:17" x14ac:dyDescent="0.3">
      <c r="A189" s="6" t="s">
        <v>641</v>
      </c>
      <c r="B189" s="6"/>
      <c r="C189" s="6"/>
      <c r="D189" s="6"/>
      <c r="E189" s="6" t="str">
        <f>IF('Nation Wise Summary'!U189="", "", (C189/'Nation Wise Summary'!U189)*100)</f>
        <v/>
      </c>
      <c r="F189" s="6" t="str">
        <f>IF('Nation Non-Social Pop Demograph'!B189="", "", ('Nation-Wide Education Seg'!C189/'Nation Non-Social Pop Demograph'!B189)*10000)</f>
        <v/>
      </c>
      <c r="G189" s="6" t="str">
        <f>IF('Nation Non-Social Pop Demograph'!J189="", "", ('Nation-Wide Education Seg'!C189/'Nation Non-Social Pop Demograph'!J189)*10000)</f>
        <v/>
      </c>
      <c r="H189" s="6"/>
      <c r="I189" s="6"/>
      <c r="J189" s="6"/>
      <c r="K189" s="6" t="str">
        <f>IF('Nation Wise Summary'!U189="", "", 'Nation-Wide Education Seg'!H189/'Nation Wise Summary'!U189)</f>
        <v/>
      </c>
      <c r="L189" s="6" t="str">
        <f>IF('Nation Non-Social Pop Demograph'!B189="", "", ('Nation-Wide Education Seg'!H189/'Nation Non-Social Pop Demograph'!B189)*10000)</f>
        <v/>
      </c>
      <c r="M189" s="6" t="str">
        <f>IF('Nation Non-Social Pop Demograph'!N189="", "", ('Nation-Wide Education Seg'!H189/'Nation Non-Social Pop Demograph'!N189)*10000)</f>
        <v/>
      </c>
      <c r="N189" s="6"/>
      <c r="O189" s="6"/>
      <c r="P189" s="6"/>
      <c r="Q189" s="6"/>
    </row>
    <row r="190" spans="1:17" x14ac:dyDescent="0.3">
      <c r="A190" s="6" t="s">
        <v>642</v>
      </c>
      <c r="B190" s="6"/>
      <c r="C190" s="6"/>
      <c r="D190" s="6"/>
      <c r="E190" s="6" t="str">
        <f>IF('Nation Wise Summary'!U190="", "", (C190/'Nation Wise Summary'!U190)*100)</f>
        <v/>
      </c>
      <c r="F190" s="6" t="str">
        <f>IF('Nation Non-Social Pop Demograph'!B190="", "", ('Nation-Wide Education Seg'!C190/'Nation Non-Social Pop Demograph'!B190)*10000)</f>
        <v/>
      </c>
      <c r="G190" s="6" t="str">
        <f>IF('Nation Non-Social Pop Demograph'!J190="", "", ('Nation-Wide Education Seg'!C190/'Nation Non-Social Pop Demograph'!J190)*10000)</f>
        <v/>
      </c>
      <c r="H190" s="6"/>
      <c r="I190" s="6"/>
      <c r="J190" s="6"/>
      <c r="K190" s="6" t="str">
        <f>IF('Nation Wise Summary'!U190="", "", 'Nation-Wide Education Seg'!H190/'Nation Wise Summary'!U190)</f>
        <v/>
      </c>
      <c r="L190" s="6" t="str">
        <f>IF('Nation Non-Social Pop Demograph'!B190="", "", ('Nation-Wide Education Seg'!H190/'Nation Non-Social Pop Demograph'!B190)*10000)</f>
        <v/>
      </c>
      <c r="M190" s="6" t="str">
        <f>IF('Nation Non-Social Pop Demograph'!N190="", "", ('Nation-Wide Education Seg'!H190/'Nation Non-Social Pop Demograph'!N190)*10000)</f>
        <v/>
      </c>
      <c r="N190" s="6"/>
      <c r="O190" s="6"/>
      <c r="P190" s="6"/>
      <c r="Q190" s="6"/>
    </row>
    <row r="191" spans="1:17" x14ac:dyDescent="0.3">
      <c r="A191" s="6" t="s">
        <v>643</v>
      </c>
      <c r="B191" s="6"/>
      <c r="C191" s="6"/>
      <c r="D191" s="6"/>
      <c r="E191" s="6" t="str">
        <f>IF('Nation Wise Summary'!U191="", "", (C191/'Nation Wise Summary'!U191)*100)</f>
        <v/>
      </c>
      <c r="F191" s="6" t="str">
        <f>IF('Nation Non-Social Pop Demograph'!B191="", "", ('Nation-Wide Education Seg'!C191/'Nation Non-Social Pop Demograph'!B191)*10000)</f>
        <v/>
      </c>
      <c r="G191" s="6" t="str">
        <f>IF('Nation Non-Social Pop Demograph'!J191="", "", ('Nation-Wide Education Seg'!C191/'Nation Non-Social Pop Demograph'!J191)*10000)</f>
        <v/>
      </c>
      <c r="H191" s="6"/>
      <c r="I191" s="6"/>
      <c r="J191" s="6"/>
      <c r="K191" s="6" t="str">
        <f>IF('Nation Wise Summary'!U191="", "", 'Nation-Wide Education Seg'!H191/'Nation Wise Summary'!U191)</f>
        <v/>
      </c>
      <c r="L191" s="6" t="str">
        <f>IF('Nation Non-Social Pop Demograph'!B191="", "", ('Nation-Wide Education Seg'!H191/'Nation Non-Social Pop Demograph'!B191)*10000)</f>
        <v/>
      </c>
      <c r="M191" s="6" t="str">
        <f>IF('Nation Non-Social Pop Demograph'!N191="", "", ('Nation-Wide Education Seg'!H191/'Nation Non-Social Pop Demograph'!N191)*10000)</f>
        <v/>
      </c>
      <c r="N191" s="6"/>
      <c r="O191" s="6"/>
      <c r="P191" s="6"/>
      <c r="Q191" s="6"/>
    </row>
    <row r="192" spans="1:17" x14ac:dyDescent="0.3">
      <c r="A192" s="6" t="s">
        <v>644</v>
      </c>
      <c r="B192" s="6"/>
      <c r="C192" s="6"/>
      <c r="D192" s="6"/>
      <c r="E192" s="6" t="str">
        <f>IF('Nation Wise Summary'!U192="", "", (C192/'Nation Wise Summary'!U192)*100)</f>
        <v/>
      </c>
      <c r="F192" s="6" t="str">
        <f>IF('Nation Non-Social Pop Demograph'!B192="", "", ('Nation-Wide Education Seg'!C192/'Nation Non-Social Pop Demograph'!B192)*10000)</f>
        <v/>
      </c>
      <c r="G192" s="6" t="str">
        <f>IF('Nation Non-Social Pop Demograph'!J192="", "", ('Nation-Wide Education Seg'!C192/'Nation Non-Social Pop Demograph'!J192)*10000)</f>
        <v/>
      </c>
      <c r="H192" s="6"/>
      <c r="I192" s="6"/>
      <c r="J192" s="6"/>
      <c r="K192" s="6" t="str">
        <f>IF('Nation Wise Summary'!U192="", "", 'Nation-Wide Education Seg'!H192/'Nation Wise Summary'!U192)</f>
        <v/>
      </c>
      <c r="L192" s="6" t="str">
        <f>IF('Nation Non-Social Pop Demograph'!B192="", "", ('Nation-Wide Education Seg'!H192/'Nation Non-Social Pop Demograph'!B192)*10000)</f>
        <v/>
      </c>
      <c r="M192" s="6" t="str">
        <f>IF('Nation Non-Social Pop Demograph'!N192="", "", ('Nation-Wide Education Seg'!H192/'Nation Non-Social Pop Demograph'!N192)*10000)</f>
        <v/>
      </c>
      <c r="N192" s="6"/>
      <c r="O192" s="6"/>
      <c r="P192" s="6"/>
      <c r="Q192" s="6"/>
    </row>
    <row r="193" spans="1:17" x14ac:dyDescent="0.3">
      <c r="A193" s="6" t="s">
        <v>645</v>
      </c>
      <c r="B193" s="6"/>
      <c r="C193" s="6"/>
      <c r="D193" s="6"/>
      <c r="E193" s="6" t="str">
        <f>IF('Nation Wise Summary'!U193="", "", (C193/'Nation Wise Summary'!U193)*100)</f>
        <v/>
      </c>
      <c r="F193" s="6" t="str">
        <f>IF('Nation Non-Social Pop Demograph'!B193="", "", ('Nation-Wide Education Seg'!C193/'Nation Non-Social Pop Demograph'!B193)*10000)</f>
        <v/>
      </c>
      <c r="G193" s="6" t="str">
        <f>IF('Nation Non-Social Pop Demograph'!J193="", "", ('Nation-Wide Education Seg'!C193/'Nation Non-Social Pop Demograph'!J193)*10000)</f>
        <v/>
      </c>
      <c r="H193" s="6"/>
      <c r="I193" s="6"/>
      <c r="J193" s="6"/>
      <c r="K193" s="6" t="str">
        <f>IF('Nation Wise Summary'!U193="", "", 'Nation-Wide Education Seg'!H193/'Nation Wise Summary'!U193)</f>
        <v/>
      </c>
      <c r="L193" s="6" t="str">
        <f>IF('Nation Non-Social Pop Demograph'!B193="", "", ('Nation-Wide Education Seg'!H193/'Nation Non-Social Pop Demograph'!B193)*10000)</f>
        <v/>
      </c>
      <c r="M193" s="6" t="str">
        <f>IF('Nation Non-Social Pop Demograph'!N193="", "", ('Nation-Wide Education Seg'!H193/'Nation Non-Social Pop Demograph'!N193)*10000)</f>
        <v/>
      </c>
      <c r="N193" s="6"/>
      <c r="O193" s="6"/>
      <c r="P193" s="6"/>
      <c r="Q193" s="6"/>
    </row>
    <row r="194" spans="1:17" x14ac:dyDescent="0.3">
      <c r="A194" s="6" t="s">
        <v>646</v>
      </c>
      <c r="B194" s="6"/>
      <c r="C194" s="6"/>
      <c r="D194" s="6"/>
      <c r="E194" s="6" t="str">
        <f>IF('Nation Wise Summary'!U194="", "", (C194/'Nation Wise Summary'!U194)*100)</f>
        <v/>
      </c>
      <c r="F194" s="6" t="str">
        <f>IF('Nation Non-Social Pop Demograph'!B194="", "", ('Nation-Wide Education Seg'!C194/'Nation Non-Social Pop Demograph'!B194)*10000)</f>
        <v/>
      </c>
      <c r="G194" s="6" t="str">
        <f>IF('Nation Non-Social Pop Demograph'!J194="", "", ('Nation-Wide Education Seg'!C194/'Nation Non-Social Pop Demograph'!J194)*10000)</f>
        <v/>
      </c>
      <c r="H194" s="6"/>
      <c r="I194" s="6"/>
      <c r="J194" s="6"/>
      <c r="K194" s="6" t="str">
        <f>IF('Nation Wise Summary'!U194="", "", 'Nation-Wide Education Seg'!H194/'Nation Wise Summary'!U194)</f>
        <v/>
      </c>
      <c r="L194" s="6" t="str">
        <f>IF('Nation Non-Social Pop Demograph'!B194="", "", ('Nation-Wide Education Seg'!H194/'Nation Non-Social Pop Demograph'!B194)*10000)</f>
        <v/>
      </c>
      <c r="M194" s="6" t="str">
        <f>IF('Nation Non-Social Pop Demograph'!N194="", "", ('Nation-Wide Education Seg'!H194/'Nation Non-Social Pop Demograph'!N194)*10000)</f>
        <v/>
      </c>
      <c r="N194" s="6"/>
      <c r="O194" s="6"/>
      <c r="P194" s="6"/>
      <c r="Q194" s="6"/>
    </row>
    <row r="195" spans="1:17" x14ac:dyDescent="0.3">
      <c r="A195" s="6" t="s">
        <v>647</v>
      </c>
      <c r="B195" s="6"/>
      <c r="C195" s="6"/>
      <c r="D195" s="6"/>
      <c r="E195" s="6" t="str">
        <f>IF('Nation Wise Summary'!U195="", "", (C195/'Nation Wise Summary'!U195)*100)</f>
        <v/>
      </c>
      <c r="F195" s="6" t="str">
        <f>IF('Nation Non-Social Pop Demograph'!B195="", "", ('Nation-Wide Education Seg'!C195/'Nation Non-Social Pop Demograph'!B195)*10000)</f>
        <v/>
      </c>
      <c r="G195" s="6" t="str">
        <f>IF('Nation Non-Social Pop Demograph'!J195="", "", ('Nation-Wide Education Seg'!C195/'Nation Non-Social Pop Demograph'!J195)*10000)</f>
        <v/>
      </c>
      <c r="H195" s="6"/>
      <c r="I195" s="6"/>
      <c r="J195" s="6"/>
      <c r="K195" s="6" t="str">
        <f>IF('Nation Wise Summary'!U195="", "", 'Nation-Wide Education Seg'!H195/'Nation Wise Summary'!U195)</f>
        <v/>
      </c>
      <c r="L195" s="6" t="str">
        <f>IF('Nation Non-Social Pop Demograph'!B195="", "", ('Nation-Wide Education Seg'!H195/'Nation Non-Social Pop Demograph'!B195)*10000)</f>
        <v/>
      </c>
      <c r="M195" s="6" t="str">
        <f>IF('Nation Non-Social Pop Demograph'!N195="", "", ('Nation-Wide Education Seg'!H195/'Nation Non-Social Pop Demograph'!N195)*10000)</f>
        <v/>
      </c>
      <c r="N195" s="6"/>
      <c r="O195" s="6"/>
      <c r="P195" s="6"/>
      <c r="Q195" s="6"/>
    </row>
    <row r="196" spans="1:17" x14ac:dyDescent="0.3">
      <c r="A196" s="6" t="s">
        <v>648</v>
      </c>
      <c r="B196" s="6"/>
      <c r="C196" s="6"/>
      <c r="D196" s="6"/>
      <c r="E196" s="6" t="str">
        <f>IF('Nation Wise Summary'!U196="", "", (C196/'Nation Wise Summary'!U196)*100)</f>
        <v/>
      </c>
      <c r="F196" s="6" t="str">
        <f>IF('Nation Non-Social Pop Demograph'!B196="", "", ('Nation-Wide Education Seg'!C196/'Nation Non-Social Pop Demograph'!B196)*10000)</f>
        <v/>
      </c>
      <c r="G196" s="6" t="str">
        <f>IF('Nation Non-Social Pop Demograph'!J196="", "", ('Nation-Wide Education Seg'!C196/'Nation Non-Social Pop Demograph'!J196)*10000)</f>
        <v/>
      </c>
      <c r="H196" s="6"/>
      <c r="I196" s="6"/>
      <c r="J196" s="6"/>
      <c r="K196" s="6" t="str">
        <f>IF('Nation Wise Summary'!U196="", "", 'Nation-Wide Education Seg'!H196/'Nation Wise Summary'!U196)</f>
        <v/>
      </c>
      <c r="L196" s="6" t="str">
        <f>IF('Nation Non-Social Pop Demograph'!B196="", "", ('Nation-Wide Education Seg'!H196/'Nation Non-Social Pop Demograph'!B196)*10000)</f>
        <v/>
      </c>
      <c r="M196" s="6" t="str">
        <f>IF('Nation Non-Social Pop Demograph'!N196="", "", ('Nation-Wide Education Seg'!H196/'Nation Non-Social Pop Demograph'!N196)*10000)</f>
        <v/>
      </c>
      <c r="N196" s="6"/>
      <c r="O196" s="6"/>
      <c r="P196" s="6"/>
      <c r="Q196" s="6"/>
    </row>
    <row r="197" spans="1:17" x14ac:dyDescent="0.3">
      <c r="A197" s="6" t="s">
        <v>649</v>
      </c>
      <c r="B197" s="6"/>
      <c r="C197" s="6"/>
      <c r="D197" s="6"/>
      <c r="E197" s="6" t="str">
        <f>IF('Nation Wise Summary'!U197="", "", (C197/'Nation Wise Summary'!U197)*100)</f>
        <v/>
      </c>
      <c r="F197" s="6" t="str">
        <f>IF('Nation Non-Social Pop Demograph'!B197="", "", ('Nation-Wide Education Seg'!C197/'Nation Non-Social Pop Demograph'!B197)*10000)</f>
        <v/>
      </c>
      <c r="G197" s="6" t="str">
        <f>IF('Nation Non-Social Pop Demograph'!J197="", "", ('Nation-Wide Education Seg'!C197/'Nation Non-Social Pop Demograph'!J197)*10000)</f>
        <v/>
      </c>
      <c r="H197" s="6"/>
      <c r="I197" s="6"/>
      <c r="J197" s="6"/>
      <c r="K197" s="6" t="str">
        <f>IF('Nation Wise Summary'!U197="", "", 'Nation-Wide Education Seg'!H197/'Nation Wise Summary'!U197)</f>
        <v/>
      </c>
      <c r="L197" s="6" t="str">
        <f>IF('Nation Non-Social Pop Demograph'!B197="", "", ('Nation-Wide Education Seg'!H197/'Nation Non-Social Pop Demograph'!B197)*10000)</f>
        <v/>
      </c>
      <c r="M197" s="6" t="str">
        <f>IF('Nation Non-Social Pop Demograph'!N197="", "", ('Nation-Wide Education Seg'!H197/'Nation Non-Social Pop Demograph'!N197)*10000)</f>
        <v/>
      </c>
      <c r="N197" s="6"/>
      <c r="O197" s="6"/>
      <c r="P197" s="6"/>
      <c r="Q197" s="6"/>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8502A-8C6F-4D1C-B96A-1E235D838265}">
  <dimension ref="A1:E370"/>
  <sheetViews>
    <sheetView workbookViewId="0">
      <selection activeCell="B1" sqref="B1"/>
    </sheetView>
  </sheetViews>
  <sheetFormatPr defaultRowHeight="14.4" x14ac:dyDescent="0.3"/>
  <cols>
    <col min="1" max="1" width="23.109375" bestFit="1" customWidth="1"/>
    <col min="2" max="2" width="11.33203125" bestFit="1" customWidth="1"/>
    <col min="3" max="3" width="10.44140625" bestFit="1" customWidth="1"/>
    <col min="4" max="4" width="16.88671875" bestFit="1" customWidth="1"/>
  </cols>
  <sheetData>
    <row r="1" spans="1:5" s="4" customFormat="1" x14ac:dyDescent="0.3">
      <c r="A1" s="1" t="s">
        <v>0</v>
      </c>
      <c r="B1" s="1" t="s">
        <v>1</v>
      </c>
      <c r="C1" s="4" t="s">
        <v>421</v>
      </c>
      <c r="D1" s="4" t="s">
        <v>423</v>
      </c>
      <c r="E1" s="4" t="s">
        <v>422</v>
      </c>
    </row>
    <row r="2" spans="1:5" x14ac:dyDescent="0.3">
      <c r="A2" s="2" t="s">
        <v>2</v>
      </c>
      <c r="B2" s="2" t="s">
        <v>3</v>
      </c>
    </row>
    <row r="3" spans="1:5" x14ac:dyDescent="0.3">
      <c r="A3" s="2" t="s">
        <v>4</v>
      </c>
      <c r="B3" s="2" t="s">
        <v>5</v>
      </c>
    </row>
    <row r="4" spans="1:5" x14ac:dyDescent="0.3">
      <c r="A4" s="2" t="s">
        <v>6</v>
      </c>
      <c r="B4" s="2" t="s">
        <v>3</v>
      </c>
    </row>
    <row r="5" spans="1:5" x14ac:dyDescent="0.3">
      <c r="A5" s="2" t="s">
        <v>7</v>
      </c>
      <c r="B5" s="2" t="s">
        <v>8</v>
      </c>
    </row>
    <row r="6" spans="1:5" x14ac:dyDescent="0.3">
      <c r="A6" s="2" t="s">
        <v>9</v>
      </c>
      <c r="B6" s="2" t="s">
        <v>10</v>
      </c>
    </row>
    <row r="7" spans="1:5" x14ac:dyDescent="0.3">
      <c r="A7" s="2" t="s">
        <v>11</v>
      </c>
      <c r="B7" s="2" t="s">
        <v>3</v>
      </c>
    </row>
    <row r="8" spans="1:5" x14ac:dyDescent="0.3">
      <c r="A8" s="2" t="s">
        <v>12</v>
      </c>
      <c r="B8" s="2" t="s">
        <v>13</v>
      </c>
    </row>
    <row r="9" spans="1:5" x14ac:dyDescent="0.3">
      <c r="A9" s="2" t="s">
        <v>14</v>
      </c>
      <c r="B9" s="2" t="s">
        <v>3</v>
      </c>
    </row>
    <row r="10" spans="1:5" x14ac:dyDescent="0.3">
      <c r="A10" s="2" t="s">
        <v>15</v>
      </c>
      <c r="B10" s="2" t="s">
        <v>16</v>
      </c>
    </row>
    <row r="11" spans="1:5" x14ac:dyDescent="0.3">
      <c r="A11" s="2" t="s">
        <v>17</v>
      </c>
      <c r="B11" s="2" t="s">
        <v>3</v>
      </c>
    </row>
    <row r="12" spans="1:5" x14ac:dyDescent="0.3">
      <c r="A12" s="2" t="s">
        <v>18</v>
      </c>
      <c r="B12" s="2" t="s">
        <v>19</v>
      </c>
    </row>
    <row r="13" spans="1:5" x14ac:dyDescent="0.3">
      <c r="A13" s="2" t="s">
        <v>20</v>
      </c>
      <c r="B13" s="2" t="s">
        <v>21</v>
      </c>
    </row>
    <row r="14" spans="1:5" x14ac:dyDescent="0.3">
      <c r="A14" s="2" t="s">
        <v>22</v>
      </c>
      <c r="B14" s="2" t="s">
        <v>3</v>
      </c>
    </row>
    <row r="15" spans="1:5" x14ac:dyDescent="0.3">
      <c r="A15" s="2" t="s">
        <v>23</v>
      </c>
      <c r="B15" s="2" t="s">
        <v>24</v>
      </c>
    </row>
    <row r="16" spans="1:5" x14ac:dyDescent="0.3">
      <c r="A16" s="2" t="s">
        <v>25</v>
      </c>
      <c r="B16" s="2" t="s">
        <v>3</v>
      </c>
    </row>
    <row r="17" spans="1:2" x14ac:dyDescent="0.3">
      <c r="A17" s="2" t="s">
        <v>26</v>
      </c>
      <c r="B17" s="2" t="s">
        <v>27</v>
      </c>
    </row>
    <row r="18" spans="1:2" x14ac:dyDescent="0.3">
      <c r="A18" s="2" t="s">
        <v>28</v>
      </c>
      <c r="B18" s="2" t="s">
        <v>29</v>
      </c>
    </row>
    <row r="19" spans="1:2" x14ac:dyDescent="0.3">
      <c r="A19" s="2" t="s">
        <v>30</v>
      </c>
      <c r="B19" s="2" t="s">
        <v>3</v>
      </c>
    </row>
    <row r="20" spans="1:2" x14ac:dyDescent="0.3">
      <c r="A20" s="2" t="s">
        <v>31</v>
      </c>
      <c r="B20" s="2" t="s">
        <v>32</v>
      </c>
    </row>
    <row r="21" spans="1:2" x14ac:dyDescent="0.3">
      <c r="A21" s="2" t="s">
        <v>33</v>
      </c>
      <c r="B21" s="2" t="s">
        <v>3</v>
      </c>
    </row>
    <row r="22" spans="1:2" x14ac:dyDescent="0.3">
      <c r="A22" s="2" t="s">
        <v>34</v>
      </c>
      <c r="B22" s="2" t="s">
        <v>35</v>
      </c>
    </row>
    <row r="23" spans="1:2" x14ac:dyDescent="0.3">
      <c r="A23" s="2" t="s">
        <v>36</v>
      </c>
      <c r="B23" s="2" t="s">
        <v>37</v>
      </c>
    </row>
    <row r="24" spans="1:2" x14ac:dyDescent="0.3">
      <c r="A24" s="2" t="s">
        <v>38</v>
      </c>
      <c r="B24" s="2" t="s">
        <v>3</v>
      </c>
    </row>
    <row r="25" spans="1:2" x14ac:dyDescent="0.3">
      <c r="A25" s="2" t="s">
        <v>39</v>
      </c>
      <c r="B25" s="2" t="s">
        <v>40</v>
      </c>
    </row>
    <row r="26" spans="1:2" x14ac:dyDescent="0.3">
      <c r="A26" s="2" t="s">
        <v>41</v>
      </c>
      <c r="B26" s="2" t="s">
        <v>3</v>
      </c>
    </row>
    <row r="27" spans="1:2" x14ac:dyDescent="0.3">
      <c r="A27" s="2" t="s">
        <v>42</v>
      </c>
      <c r="B27" s="2" t="s">
        <v>43</v>
      </c>
    </row>
    <row r="28" spans="1:2" x14ac:dyDescent="0.3">
      <c r="A28" s="2" t="s">
        <v>44</v>
      </c>
      <c r="B28" s="2" t="s">
        <v>45</v>
      </c>
    </row>
    <row r="29" spans="1:2" x14ac:dyDescent="0.3">
      <c r="A29" s="2" t="s">
        <v>46</v>
      </c>
      <c r="B29" s="2" t="s">
        <v>3</v>
      </c>
    </row>
    <row r="30" spans="1:2" x14ac:dyDescent="0.3">
      <c r="A30" s="2" t="s">
        <v>47</v>
      </c>
      <c r="B30" s="2" t="s">
        <v>48</v>
      </c>
    </row>
    <row r="31" spans="1:2" x14ac:dyDescent="0.3">
      <c r="A31" s="2" t="s">
        <v>49</v>
      </c>
      <c r="B31" s="2" t="s">
        <v>3</v>
      </c>
    </row>
    <row r="32" spans="1:2" x14ac:dyDescent="0.3">
      <c r="A32" s="2" t="s">
        <v>50</v>
      </c>
      <c r="B32" s="2" t="s">
        <v>51</v>
      </c>
    </row>
    <row r="33" spans="1:2" x14ac:dyDescent="0.3">
      <c r="A33" s="2" t="s">
        <v>52</v>
      </c>
      <c r="B33" s="2" t="s">
        <v>53</v>
      </c>
    </row>
    <row r="34" spans="1:2" x14ac:dyDescent="0.3">
      <c r="A34" s="2" t="s">
        <v>54</v>
      </c>
      <c r="B34" s="2" t="s">
        <v>3</v>
      </c>
    </row>
    <row r="35" spans="1:2" x14ac:dyDescent="0.3">
      <c r="A35" s="2" t="s">
        <v>55</v>
      </c>
      <c r="B35" s="2" t="s">
        <v>56</v>
      </c>
    </row>
    <row r="36" spans="1:2" x14ac:dyDescent="0.3">
      <c r="A36" s="2" t="s">
        <v>57</v>
      </c>
      <c r="B36" s="2" t="s">
        <v>3</v>
      </c>
    </row>
    <row r="37" spans="1:2" x14ac:dyDescent="0.3">
      <c r="A37" s="2" t="s">
        <v>58</v>
      </c>
      <c r="B37" s="2" t="s">
        <v>59</v>
      </c>
    </row>
    <row r="38" spans="1:2" x14ac:dyDescent="0.3">
      <c r="A38" s="2" t="s">
        <v>60</v>
      </c>
      <c r="B38" s="2" t="s">
        <v>61</v>
      </c>
    </row>
    <row r="39" spans="1:2" x14ac:dyDescent="0.3">
      <c r="A39" s="2" t="s">
        <v>62</v>
      </c>
      <c r="B39" s="2" t="s">
        <v>3</v>
      </c>
    </row>
    <row r="40" spans="1:2" x14ac:dyDescent="0.3">
      <c r="A40" s="2" t="s">
        <v>63</v>
      </c>
      <c r="B40" s="2" t="s">
        <v>64</v>
      </c>
    </row>
    <row r="41" spans="1:2" x14ac:dyDescent="0.3">
      <c r="A41" s="2" t="s">
        <v>65</v>
      </c>
      <c r="B41" s="2" t="s">
        <v>3</v>
      </c>
    </row>
    <row r="42" spans="1:2" x14ac:dyDescent="0.3">
      <c r="A42" s="2" t="s">
        <v>66</v>
      </c>
      <c r="B42" s="2" t="s">
        <v>67</v>
      </c>
    </row>
    <row r="43" spans="1:2" x14ac:dyDescent="0.3">
      <c r="A43" s="2" t="s">
        <v>68</v>
      </c>
      <c r="B43" s="2" t="s">
        <v>69</v>
      </c>
    </row>
    <row r="44" spans="1:2" x14ac:dyDescent="0.3">
      <c r="A44" s="2" t="s">
        <v>70</v>
      </c>
      <c r="B44" s="2" t="s">
        <v>3</v>
      </c>
    </row>
    <row r="45" spans="1:2" x14ac:dyDescent="0.3">
      <c r="A45" s="2" t="s">
        <v>71</v>
      </c>
      <c r="B45" s="2" t="s">
        <v>72</v>
      </c>
    </row>
    <row r="46" spans="1:2" x14ac:dyDescent="0.3">
      <c r="A46" s="2" t="s">
        <v>73</v>
      </c>
      <c r="B46" s="2" t="s">
        <v>3</v>
      </c>
    </row>
    <row r="47" spans="1:2" x14ac:dyDescent="0.3">
      <c r="A47" s="2" t="s">
        <v>74</v>
      </c>
      <c r="B47" s="2" t="s">
        <v>75</v>
      </c>
    </row>
    <row r="48" spans="1:2" x14ac:dyDescent="0.3">
      <c r="A48" s="2" t="s">
        <v>76</v>
      </c>
      <c r="B48" s="2" t="s">
        <v>77</v>
      </c>
    </row>
    <row r="49" spans="1:2" x14ac:dyDescent="0.3">
      <c r="A49" s="2" t="s">
        <v>78</v>
      </c>
      <c r="B49" s="2" t="s">
        <v>3</v>
      </c>
    </row>
    <row r="50" spans="1:2" x14ac:dyDescent="0.3">
      <c r="A50" s="2" t="s">
        <v>79</v>
      </c>
      <c r="B50" s="2" t="s">
        <v>80</v>
      </c>
    </row>
    <row r="51" spans="1:2" x14ac:dyDescent="0.3">
      <c r="A51" s="2" t="s">
        <v>81</v>
      </c>
      <c r="B51" s="2" t="s">
        <v>3</v>
      </c>
    </row>
    <row r="52" spans="1:2" x14ac:dyDescent="0.3">
      <c r="A52" s="2" t="s">
        <v>82</v>
      </c>
      <c r="B52" s="2" t="s">
        <v>83</v>
      </c>
    </row>
    <row r="53" spans="1:2" x14ac:dyDescent="0.3">
      <c r="A53" s="2" t="s">
        <v>84</v>
      </c>
      <c r="B53" s="2" t="s">
        <v>3</v>
      </c>
    </row>
    <row r="54" spans="1:2" x14ac:dyDescent="0.3">
      <c r="A54" s="2" t="s">
        <v>85</v>
      </c>
      <c r="B54" s="2" t="s">
        <v>86</v>
      </c>
    </row>
    <row r="55" spans="1:2" x14ac:dyDescent="0.3">
      <c r="A55" s="2" t="s">
        <v>87</v>
      </c>
      <c r="B55" s="2" t="s">
        <v>3</v>
      </c>
    </row>
    <row r="56" spans="1:2" x14ac:dyDescent="0.3">
      <c r="A56" s="2" t="s">
        <v>88</v>
      </c>
      <c r="B56" s="2" t="s">
        <v>89</v>
      </c>
    </row>
    <row r="57" spans="1:2" x14ac:dyDescent="0.3">
      <c r="A57" s="2" t="s">
        <v>90</v>
      </c>
      <c r="B57" s="2" t="s">
        <v>3</v>
      </c>
    </row>
    <row r="58" spans="1:2" x14ac:dyDescent="0.3">
      <c r="A58" s="2" t="s">
        <v>91</v>
      </c>
      <c r="B58" s="2" t="s">
        <v>92</v>
      </c>
    </row>
    <row r="59" spans="1:2" x14ac:dyDescent="0.3">
      <c r="A59" s="2" t="s">
        <v>93</v>
      </c>
      <c r="B59" s="2" t="s">
        <v>3</v>
      </c>
    </row>
    <row r="60" spans="1:2" x14ac:dyDescent="0.3">
      <c r="A60" s="2" t="s">
        <v>94</v>
      </c>
      <c r="B60" s="2" t="s">
        <v>95</v>
      </c>
    </row>
    <row r="61" spans="1:2" x14ac:dyDescent="0.3">
      <c r="A61" s="2" t="s">
        <v>96</v>
      </c>
      <c r="B61" s="2" t="s">
        <v>3</v>
      </c>
    </row>
    <row r="62" spans="1:2" x14ac:dyDescent="0.3">
      <c r="A62" s="2" t="s">
        <v>97</v>
      </c>
      <c r="B62" s="2" t="s">
        <v>98</v>
      </c>
    </row>
    <row r="63" spans="1:2" x14ac:dyDescent="0.3">
      <c r="A63" s="2" t="s">
        <v>99</v>
      </c>
      <c r="B63" s="2" t="s">
        <v>3</v>
      </c>
    </row>
    <row r="64" spans="1:2" x14ac:dyDescent="0.3">
      <c r="A64" s="2" t="s">
        <v>100</v>
      </c>
      <c r="B64" s="2" t="s">
        <v>101</v>
      </c>
    </row>
    <row r="65" spans="1:2" x14ac:dyDescent="0.3">
      <c r="A65" s="2" t="s">
        <v>102</v>
      </c>
      <c r="B65" s="2" t="s">
        <v>3</v>
      </c>
    </row>
    <row r="66" spans="1:2" x14ac:dyDescent="0.3">
      <c r="A66" s="2" t="s">
        <v>103</v>
      </c>
      <c r="B66" s="2" t="s">
        <v>104</v>
      </c>
    </row>
    <row r="67" spans="1:2" x14ac:dyDescent="0.3">
      <c r="A67" s="2" t="s">
        <v>105</v>
      </c>
      <c r="B67" s="2" t="s">
        <v>3</v>
      </c>
    </row>
    <row r="68" spans="1:2" x14ac:dyDescent="0.3">
      <c r="A68" s="2" t="s">
        <v>106</v>
      </c>
      <c r="B68" s="2" t="s">
        <v>107</v>
      </c>
    </row>
    <row r="69" spans="1:2" x14ac:dyDescent="0.3">
      <c r="A69" s="2" t="s">
        <v>108</v>
      </c>
      <c r="B69" s="2" t="s">
        <v>3</v>
      </c>
    </row>
    <row r="70" spans="1:2" x14ac:dyDescent="0.3">
      <c r="A70" s="2" t="s">
        <v>109</v>
      </c>
      <c r="B70" s="2" t="s">
        <v>3</v>
      </c>
    </row>
    <row r="71" spans="1:2" x14ac:dyDescent="0.3">
      <c r="A71" s="2" t="s">
        <v>110</v>
      </c>
      <c r="B71" s="2" t="s">
        <v>111</v>
      </c>
    </row>
    <row r="72" spans="1:2" x14ac:dyDescent="0.3">
      <c r="A72" s="2" t="s">
        <v>112</v>
      </c>
      <c r="B72" s="2" t="s">
        <v>3</v>
      </c>
    </row>
    <row r="73" spans="1:2" x14ac:dyDescent="0.3">
      <c r="A73" s="2" t="s">
        <v>113</v>
      </c>
      <c r="B73" s="2" t="s">
        <v>114</v>
      </c>
    </row>
    <row r="74" spans="1:2" x14ac:dyDescent="0.3">
      <c r="A74" s="2" t="s">
        <v>115</v>
      </c>
      <c r="B74" s="2" t="s">
        <v>3</v>
      </c>
    </row>
    <row r="75" spans="1:2" x14ac:dyDescent="0.3">
      <c r="A75" s="2" t="s">
        <v>116</v>
      </c>
      <c r="B75" s="2" t="s">
        <v>117</v>
      </c>
    </row>
    <row r="76" spans="1:2" x14ac:dyDescent="0.3">
      <c r="A76" s="2" t="s">
        <v>118</v>
      </c>
      <c r="B76" s="2" t="s">
        <v>3</v>
      </c>
    </row>
    <row r="77" spans="1:2" x14ac:dyDescent="0.3">
      <c r="A77" s="2" t="s">
        <v>119</v>
      </c>
      <c r="B77" s="2" t="s">
        <v>120</v>
      </c>
    </row>
    <row r="78" spans="1:2" x14ac:dyDescent="0.3">
      <c r="A78" s="2" t="s">
        <v>121</v>
      </c>
      <c r="B78" s="2" t="s">
        <v>3</v>
      </c>
    </row>
    <row r="79" spans="1:2" x14ac:dyDescent="0.3">
      <c r="A79" s="2" t="s">
        <v>122</v>
      </c>
      <c r="B79" s="2" t="s">
        <v>123</v>
      </c>
    </row>
    <row r="80" spans="1:2" x14ac:dyDescent="0.3">
      <c r="A80" s="2" t="s">
        <v>124</v>
      </c>
      <c r="B80" s="2" t="s">
        <v>3</v>
      </c>
    </row>
    <row r="81" spans="1:2" x14ac:dyDescent="0.3">
      <c r="A81" s="2" t="s">
        <v>125</v>
      </c>
      <c r="B81" s="2" t="s">
        <v>3</v>
      </c>
    </row>
    <row r="82" spans="1:2" x14ac:dyDescent="0.3">
      <c r="A82" s="2" t="s">
        <v>126</v>
      </c>
      <c r="B82" s="2" t="s">
        <v>5</v>
      </c>
    </row>
    <row r="83" spans="1:2" x14ac:dyDescent="0.3">
      <c r="A83" s="2" t="s">
        <v>127</v>
      </c>
      <c r="B83" s="2" t="s">
        <v>3</v>
      </c>
    </row>
    <row r="84" spans="1:2" x14ac:dyDescent="0.3">
      <c r="A84" s="2" t="s">
        <v>128</v>
      </c>
      <c r="B84" s="2" t="s">
        <v>8</v>
      </c>
    </row>
    <row r="85" spans="1:2" x14ac:dyDescent="0.3">
      <c r="A85" s="2" t="s">
        <v>129</v>
      </c>
      <c r="B85" s="2" t="s">
        <v>10</v>
      </c>
    </row>
    <row r="86" spans="1:2" x14ac:dyDescent="0.3">
      <c r="A86" s="2" t="s">
        <v>130</v>
      </c>
      <c r="B86" s="2" t="s">
        <v>3</v>
      </c>
    </row>
    <row r="87" spans="1:2" x14ac:dyDescent="0.3">
      <c r="A87" s="2" t="s">
        <v>131</v>
      </c>
      <c r="B87" s="2" t="s">
        <v>13</v>
      </c>
    </row>
    <row r="88" spans="1:2" x14ac:dyDescent="0.3">
      <c r="A88" s="2" t="s">
        <v>132</v>
      </c>
      <c r="B88" s="2" t="s">
        <v>3</v>
      </c>
    </row>
    <row r="89" spans="1:2" x14ac:dyDescent="0.3">
      <c r="A89" s="2" t="s">
        <v>133</v>
      </c>
      <c r="B89" s="2" t="s">
        <v>16</v>
      </c>
    </row>
    <row r="90" spans="1:2" x14ac:dyDescent="0.3">
      <c r="A90" s="2" t="s">
        <v>134</v>
      </c>
      <c r="B90" s="2" t="s">
        <v>3</v>
      </c>
    </row>
    <row r="91" spans="1:2" x14ac:dyDescent="0.3">
      <c r="A91" s="2" t="s">
        <v>135</v>
      </c>
      <c r="B91" s="2" t="s">
        <v>19</v>
      </c>
    </row>
    <row r="92" spans="1:2" x14ac:dyDescent="0.3">
      <c r="A92" s="2" t="s">
        <v>136</v>
      </c>
      <c r="B92" s="2" t="s">
        <v>21</v>
      </c>
    </row>
    <row r="93" spans="1:2" x14ac:dyDescent="0.3">
      <c r="A93" s="2" t="s">
        <v>137</v>
      </c>
      <c r="B93" s="2" t="s">
        <v>3</v>
      </c>
    </row>
    <row r="94" spans="1:2" x14ac:dyDescent="0.3">
      <c r="A94" s="2" t="s">
        <v>138</v>
      </c>
      <c r="B94" s="2" t="s">
        <v>24</v>
      </c>
    </row>
    <row r="95" spans="1:2" x14ac:dyDescent="0.3">
      <c r="A95" s="2" t="s">
        <v>139</v>
      </c>
      <c r="B95" s="2" t="s">
        <v>3</v>
      </c>
    </row>
    <row r="96" spans="1:2" x14ac:dyDescent="0.3">
      <c r="A96" s="2" t="s">
        <v>140</v>
      </c>
      <c r="B96" s="2" t="s">
        <v>27</v>
      </c>
    </row>
    <row r="97" spans="1:2" x14ac:dyDescent="0.3">
      <c r="A97" s="2" t="s">
        <v>141</v>
      </c>
      <c r="B97" s="2" t="s">
        <v>29</v>
      </c>
    </row>
    <row r="98" spans="1:2" x14ac:dyDescent="0.3">
      <c r="A98" s="2" t="s">
        <v>142</v>
      </c>
      <c r="B98" s="2" t="s">
        <v>3</v>
      </c>
    </row>
    <row r="99" spans="1:2" x14ac:dyDescent="0.3">
      <c r="A99" s="2" t="s">
        <v>143</v>
      </c>
      <c r="B99" s="2" t="s">
        <v>32</v>
      </c>
    </row>
    <row r="100" spans="1:2" x14ac:dyDescent="0.3">
      <c r="A100" s="2" t="s">
        <v>144</v>
      </c>
      <c r="B100" s="2" t="s">
        <v>3</v>
      </c>
    </row>
    <row r="101" spans="1:2" x14ac:dyDescent="0.3">
      <c r="A101" s="2" t="s">
        <v>145</v>
      </c>
      <c r="B101" s="2" t="s">
        <v>35</v>
      </c>
    </row>
    <row r="102" spans="1:2" x14ac:dyDescent="0.3">
      <c r="A102" s="2" t="s">
        <v>146</v>
      </c>
      <c r="B102" s="2" t="s">
        <v>37</v>
      </c>
    </row>
    <row r="103" spans="1:2" x14ac:dyDescent="0.3">
      <c r="A103" s="2" t="s">
        <v>147</v>
      </c>
      <c r="B103" s="2" t="s">
        <v>3</v>
      </c>
    </row>
    <row r="104" spans="1:2" x14ac:dyDescent="0.3">
      <c r="A104" s="2" t="s">
        <v>148</v>
      </c>
      <c r="B104" s="2" t="s">
        <v>40</v>
      </c>
    </row>
    <row r="105" spans="1:2" x14ac:dyDescent="0.3">
      <c r="A105" s="2" t="s">
        <v>149</v>
      </c>
      <c r="B105" s="2" t="s">
        <v>3</v>
      </c>
    </row>
    <row r="106" spans="1:2" x14ac:dyDescent="0.3">
      <c r="A106" s="2" t="s">
        <v>150</v>
      </c>
      <c r="B106" s="2" t="s">
        <v>43</v>
      </c>
    </row>
    <row r="107" spans="1:2" x14ac:dyDescent="0.3">
      <c r="A107" s="2" t="s">
        <v>151</v>
      </c>
      <c r="B107" s="2" t="s">
        <v>45</v>
      </c>
    </row>
    <row r="108" spans="1:2" x14ac:dyDescent="0.3">
      <c r="A108" s="2" t="s">
        <v>152</v>
      </c>
      <c r="B108" s="2" t="s">
        <v>3</v>
      </c>
    </row>
    <row r="109" spans="1:2" x14ac:dyDescent="0.3">
      <c r="A109" s="2" t="s">
        <v>153</v>
      </c>
      <c r="B109" s="2" t="s">
        <v>48</v>
      </c>
    </row>
    <row r="110" spans="1:2" x14ac:dyDescent="0.3">
      <c r="A110" s="2" t="s">
        <v>154</v>
      </c>
      <c r="B110" s="2" t="s">
        <v>3</v>
      </c>
    </row>
    <row r="111" spans="1:2" x14ac:dyDescent="0.3">
      <c r="A111" s="2" t="s">
        <v>155</v>
      </c>
      <c r="B111" s="2" t="s">
        <v>51</v>
      </c>
    </row>
    <row r="112" spans="1:2" x14ac:dyDescent="0.3">
      <c r="A112" s="2" t="s">
        <v>156</v>
      </c>
      <c r="B112" s="2" t="s">
        <v>53</v>
      </c>
    </row>
    <row r="113" spans="1:2" x14ac:dyDescent="0.3">
      <c r="A113" s="2" t="s">
        <v>157</v>
      </c>
      <c r="B113" s="2" t="s">
        <v>3</v>
      </c>
    </row>
    <row r="114" spans="1:2" x14ac:dyDescent="0.3">
      <c r="A114" s="2" t="s">
        <v>158</v>
      </c>
      <c r="B114" s="2" t="s">
        <v>56</v>
      </c>
    </row>
    <row r="115" spans="1:2" x14ac:dyDescent="0.3">
      <c r="A115" s="2" t="s">
        <v>159</v>
      </c>
      <c r="B115" s="2" t="s">
        <v>3</v>
      </c>
    </row>
    <row r="116" spans="1:2" x14ac:dyDescent="0.3">
      <c r="A116" s="2" t="s">
        <v>160</v>
      </c>
      <c r="B116" s="2" t="s">
        <v>59</v>
      </c>
    </row>
    <row r="117" spans="1:2" x14ac:dyDescent="0.3">
      <c r="A117" s="2" t="s">
        <v>161</v>
      </c>
      <c r="B117" s="2" t="s">
        <v>61</v>
      </c>
    </row>
    <row r="118" spans="1:2" x14ac:dyDescent="0.3">
      <c r="A118" s="2" t="s">
        <v>162</v>
      </c>
      <c r="B118" s="2" t="s">
        <v>3</v>
      </c>
    </row>
    <row r="119" spans="1:2" x14ac:dyDescent="0.3">
      <c r="A119" s="2" t="s">
        <v>163</v>
      </c>
      <c r="B119" s="2" t="s">
        <v>64</v>
      </c>
    </row>
    <row r="120" spans="1:2" x14ac:dyDescent="0.3">
      <c r="A120" s="2" t="s">
        <v>164</v>
      </c>
      <c r="B120" s="2" t="s">
        <v>3</v>
      </c>
    </row>
    <row r="121" spans="1:2" x14ac:dyDescent="0.3">
      <c r="A121" s="2" t="s">
        <v>165</v>
      </c>
      <c r="B121" s="2" t="s">
        <v>67</v>
      </c>
    </row>
    <row r="122" spans="1:2" x14ac:dyDescent="0.3">
      <c r="A122" s="2" t="s">
        <v>166</v>
      </c>
      <c r="B122" s="2" t="s">
        <v>69</v>
      </c>
    </row>
    <row r="123" spans="1:2" x14ac:dyDescent="0.3">
      <c r="A123" s="2" t="s">
        <v>167</v>
      </c>
      <c r="B123" s="2" t="s">
        <v>3</v>
      </c>
    </row>
    <row r="124" spans="1:2" x14ac:dyDescent="0.3">
      <c r="A124" s="2" t="s">
        <v>168</v>
      </c>
      <c r="B124" s="2" t="s">
        <v>75</v>
      </c>
    </row>
    <row r="125" spans="1:2" x14ac:dyDescent="0.3">
      <c r="A125" s="2" t="s">
        <v>169</v>
      </c>
      <c r="B125" s="2" t="s">
        <v>77</v>
      </c>
    </row>
    <row r="126" spans="1:2" x14ac:dyDescent="0.3">
      <c r="A126" s="2" t="s">
        <v>170</v>
      </c>
      <c r="B126" s="2" t="s">
        <v>3</v>
      </c>
    </row>
    <row r="127" spans="1:2" x14ac:dyDescent="0.3">
      <c r="A127" s="2" t="s">
        <v>171</v>
      </c>
      <c r="B127" s="2" t="s">
        <v>80</v>
      </c>
    </row>
    <row r="128" spans="1:2" x14ac:dyDescent="0.3">
      <c r="A128" s="2" t="s">
        <v>172</v>
      </c>
      <c r="B128" s="2" t="s">
        <v>3</v>
      </c>
    </row>
    <row r="129" spans="1:2" x14ac:dyDescent="0.3">
      <c r="A129" s="2" t="s">
        <v>173</v>
      </c>
      <c r="B129" s="2" t="s">
        <v>83</v>
      </c>
    </row>
    <row r="130" spans="1:2" x14ac:dyDescent="0.3">
      <c r="A130" s="2" t="s">
        <v>174</v>
      </c>
      <c r="B130" s="2" t="s">
        <v>3</v>
      </c>
    </row>
    <row r="131" spans="1:2" x14ac:dyDescent="0.3">
      <c r="A131" s="2" t="s">
        <v>175</v>
      </c>
      <c r="B131" s="2" t="s">
        <v>86</v>
      </c>
    </row>
    <row r="132" spans="1:2" x14ac:dyDescent="0.3">
      <c r="A132" s="2" t="s">
        <v>176</v>
      </c>
      <c r="B132" s="2" t="s">
        <v>3</v>
      </c>
    </row>
    <row r="133" spans="1:2" x14ac:dyDescent="0.3">
      <c r="A133" s="2" t="s">
        <v>177</v>
      </c>
      <c r="B133" s="2" t="s">
        <v>89</v>
      </c>
    </row>
    <row r="134" spans="1:2" x14ac:dyDescent="0.3">
      <c r="A134" s="2" t="s">
        <v>178</v>
      </c>
      <c r="B134" s="2" t="s">
        <v>3</v>
      </c>
    </row>
    <row r="135" spans="1:2" x14ac:dyDescent="0.3">
      <c r="A135" s="2" t="s">
        <v>179</v>
      </c>
      <c r="B135" s="2" t="s">
        <v>92</v>
      </c>
    </row>
    <row r="136" spans="1:2" x14ac:dyDescent="0.3">
      <c r="A136" s="2" t="s">
        <v>180</v>
      </c>
      <c r="B136" s="2" t="s">
        <v>3</v>
      </c>
    </row>
    <row r="137" spans="1:2" x14ac:dyDescent="0.3">
      <c r="A137" s="2" t="s">
        <v>181</v>
      </c>
      <c r="B137" s="2" t="s">
        <v>95</v>
      </c>
    </row>
    <row r="138" spans="1:2" x14ac:dyDescent="0.3">
      <c r="A138" s="2" t="s">
        <v>182</v>
      </c>
      <c r="B138" s="2" t="s">
        <v>3</v>
      </c>
    </row>
    <row r="139" spans="1:2" x14ac:dyDescent="0.3">
      <c r="A139" s="2" t="s">
        <v>183</v>
      </c>
      <c r="B139" s="2" t="s">
        <v>98</v>
      </c>
    </row>
    <row r="140" spans="1:2" x14ac:dyDescent="0.3">
      <c r="A140" s="2" t="s">
        <v>184</v>
      </c>
      <c r="B140" s="2" t="s">
        <v>3</v>
      </c>
    </row>
    <row r="141" spans="1:2" x14ac:dyDescent="0.3">
      <c r="A141" s="2" t="s">
        <v>185</v>
      </c>
      <c r="B141" s="2" t="s">
        <v>101</v>
      </c>
    </row>
    <row r="142" spans="1:2" x14ac:dyDescent="0.3">
      <c r="A142" s="2" t="s">
        <v>186</v>
      </c>
      <c r="B142" s="2" t="s">
        <v>3</v>
      </c>
    </row>
    <row r="143" spans="1:2" x14ac:dyDescent="0.3">
      <c r="A143" s="2" t="s">
        <v>187</v>
      </c>
      <c r="B143" s="2" t="s">
        <v>107</v>
      </c>
    </row>
    <row r="144" spans="1:2" x14ac:dyDescent="0.3">
      <c r="A144" s="2" t="s">
        <v>188</v>
      </c>
      <c r="B144" s="2" t="s">
        <v>3</v>
      </c>
    </row>
    <row r="145" spans="1:2" x14ac:dyDescent="0.3">
      <c r="A145" s="2" t="s">
        <v>189</v>
      </c>
      <c r="B145" s="2" t="s">
        <v>111</v>
      </c>
    </row>
    <row r="146" spans="1:2" x14ac:dyDescent="0.3">
      <c r="A146" s="2" t="s">
        <v>190</v>
      </c>
      <c r="B146" s="2" t="s">
        <v>3</v>
      </c>
    </row>
    <row r="147" spans="1:2" x14ac:dyDescent="0.3">
      <c r="A147" s="2" t="s">
        <v>191</v>
      </c>
      <c r="B147" s="2" t="s">
        <v>114</v>
      </c>
    </row>
    <row r="148" spans="1:2" x14ac:dyDescent="0.3">
      <c r="A148" s="2" t="s">
        <v>192</v>
      </c>
      <c r="B148" s="2" t="s">
        <v>3</v>
      </c>
    </row>
    <row r="149" spans="1:2" x14ac:dyDescent="0.3">
      <c r="A149" s="2" t="s">
        <v>193</v>
      </c>
      <c r="B149" s="2" t="s">
        <v>117</v>
      </c>
    </row>
    <row r="150" spans="1:2" x14ac:dyDescent="0.3">
      <c r="A150" s="2" t="s">
        <v>194</v>
      </c>
      <c r="B150" s="2" t="s">
        <v>3</v>
      </c>
    </row>
    <row r="151" spans="1:2" x14ac:dyDescent="0.3">
      <c r="A151" s="2" t="s">
        <v>195</v>
      </c>
      <c r="B151" s="2" t="s">
        <v>120</v>
      </c>
    </row>
    <row r="152" spans="1:2" x14ac:dyDescent="0.3">
      <c r="A152" s="2" t="s">
        <v>196</v>
      </c>
      <c r="B152" s="2" t="s">
        <v>3</v>
      </c>
    </row>
    <row r="153" spans="1:2" x14ac:dyDescent="0.3">
      <c r="A153" s="2" t="s">
        <v>197</v>
      </c>
      <c r="B153" s="2" t="s">
        <v>3</v>
      </c>
    </row>
    <row r="154" spans="1:2" x14ac:dyDescent="0.3">
      <c r="A154" s="2" t="s">
        <v>198</v>
      </c>
      <c r="B154" s="2" t="s">
        <v>5</v>
      </c>
    </row>
    <row r="155" spans="1:2" x14ac:dyDescent="0.3">
      <c r="A155" s="2" t="s">
        <v>199</v>
      </c>
      <c r="B155" s="2" t="s">
        <v>3</v>
      </c>
    </row>
    <row r="156" spans="1:2" x14ac:dyDescent="0.3">
      <c r="A156" s="2" t="s">
        <v>200</v>
      </c>
      <c r="B156" s="2" t="s">
        <v>8</v>
      </c>
    </row>
    <row r="157" spans="1:2" x14ac:dyDescent="0.3">
      <c r="A157" s="2" t="s">
        <v>201</v>
      </c>
      <c r="B157" s="2" t="s">
        <v>10</v>
      </c>
    </row>
    <row r="158" spans="1:2" x14ac:dyDescent="0.3">
      <c r="A158" s="2" t="s">
        <v>202</v>
      </c>
      <c r="B158" s="2" t="s">
        <v>3</v>
      </c>
    </row>
    <row r="159" spans="1:2" x14ac:dyDescent="0.3">
      <c r="A159" s="2" t="s">
        <v>203</v>
      </c>
      <c r="B159" s="2" t="s">
        <v>13</v>
      </c>
    </row>
    <row r="160" spans="1:2" x14ac:dyDescent="0.3">
      <c r="A160" s="2" t="s">
        <v>204</v>
      </c>
      <c r="B160" s="2" t="s">
        <v>3</v>
      </c>
    </row>
    <row r="161" spans="1:2" x14ac:dyDescent="0.3">
      <c r="A161" s="2" t="s">
        <v>205</v>
      </c>
      <c r="B161" s="2" t="s">
        <v>16</v>
      </c>
    </row>
    <row r="162" spans="1:2" x14ac:dyDescent="0.3">
      <c r="A162" s="2" t="s">
        <v>206</v>
      </c>
      <c r="B162" s="2" t="s">
        <v>3</v>
      </c>
    </row>
    <row r="163" spans="1:2" x14ac:dyDescent="0.3">
      <c r="A163" s="2" t="s">
        <v>207</v>
      </c>
      <c r="B163" s="2" t="s">
        <v>19</v>
      </c>
    </row>
    <row r="164" spans="1:2" x14ac:dyDescent="0.3">
      <c r="A164" s="2" t="s">
        <v>208</v>
      </c>
      <c r="B164" s="2" t="s">
        <v>21</v>
      </c>
    </row>
    <row r="165" spans="1:2" x14ac:dyDescent="0.3">
      <c r="A165" s="2" t="s">
        <v>209</v>
      </c>
      <c r="B165" s="2" t="s">
        <v>3</v>
      </c>
    </row>
    <row r="166" spans="1:2" x14ac:dyDescent="0.3">
      <c r="A166" s="2" t="s">
        <v>210</v>
      </c>
      <c r="B166" s="2" t="s">
        <v>24</v>
      </c>
    </row>
    <row r="167" spans="1:2" x14ac:dyDescent="0.3">
      <c r="A167" s="2" t="s">
        <v>211</v>
      </c>
      <c r="B167" s="2" t="s">
        <v>3</v>
      </c>
    </row>
    <row r="168" spans="1:2" x14ac:dyDescent="0.3">
      <c r="A168" s="2" t="s">
        <v>212</v>
      </c>
      <c r="B168" s="2" t="s">
        <v>27</v>
      </c>
    </row>
    <row r="169" spans="1:2" x14ac:dyDescent="0.3">
      <c r="A169" s="2" t="s">
        <v>213</v>
      </c>
      <c r="B169" s="2" t="s">
        <v>29</v>
      </c>
    </row>
    <row r="170" spans="1:2" x14ac:dyDescent="0.3">
      <c r="A170" s="2" t="s">
        <v>214</v>
      </c>
      <c r="B170" s="2" t="s">
        <v>3</v>
      </c>
    </row>
    <row r="171" spans="1:2" x14ac:dyDescent="0.3">
      <c r="A171" s="2" t="s">
        <v>215</v>
      </c>
      <c r="B171" s="2" t="s">
        <v>32</v>
      </c>
    </row>
    <row r="172" spans="1:2" x14ac:dyDescent="0.3">
      <c r="A172" s="2" t="s">
        <v>216</v>
      </c>
      <c r="B172" s="2" t="s">
        <v>3</v>
      </c>
    </row>
    <row r="173" spans="1:2" x14ac:dyDescent="0.3">
      <c r="A173" s="2" t="s">
        <v>217</v>
      </c>
      <c r="B173" s="2" t="s">
        <v>35</v>
      </c>
    </row>
    <row r="174" spans="1:2" x14ac:dyDescent="0.3">
      <c r="A174" s="2" t="s">
        <v>218</v>
      </c>
      <c r="B174" s="2" t="s">
        <v>37</v>
      </c>
    </row>
    <row r="175" spans="1:2" x14ac:dyDescent="0.3">
      <c r="A175" s="2" t="s">
        <v>219</v>
      </c>
      <c r="B175" s="2" t="s">
        <v>3</v>
      </c>
    </row>
    <row r="176" spans="1:2" x14ac:dyDescent="0.3">
      <c r="A176" s="2" t="s">
        <v>220</v>
      </c>
      <c r="B176" s="2" t="s">
        <v>40</v>
      </c>
    </row>
    <row r="177" spans="1:2" x14ac:dyDescent="0.3">
      <c r="A177" s="2" t="s">
        <v>221</v>
      </c>
      <c r="B177" s="2" t="s">
        <v>3</v>
      </c>
    </row>
    <row r="178" spans="1:2" x14ac:dyDescent="0.3">
      <c r="A178" s="2" t="s">
        <v>222</v>
      </c>
      <c r="B178" s="2" t="s">
        <v>43</v>
      </c>
    </row>
    <row r="179" spans="1:2" x14ac:dyDescent="0.3">
      <c r="A179" s="2" t="s">
        <v>223</v>
      </c>
      <c r="B179" s="2" t="s">
        <v>45</v>
      </c>
    </row>
    <row r="180" spans="1:2" x14ac:dyDescent="0.3">
      <c r="A180" s="2" t="s">
        <v>224</v>
      </c>
      <c r="B180" s="2" t="s">
        <v>3</v>
      </c>
    </row>
    <row r="181" spans="1:2" x14ac:dyDescent="0.3">
      <c r="A181" s="2" t="s">
        <v>225</v>
      </c>
      <c r="B181" s="2" t="s">
        <v>48</v>
      </c>
    </row>
    <row r="182" spans="1:2" x14ac:dyDescent="0.3">
      <c r="A182" s="2" t="s">
        <v>226</v>
      </c>
      <c r="B182" s="2" t="s">
        <v>3</v>
      </c>
    </row>
    <row r="183" spans="1:2" x14ac:dyDescent="0.3">
      <c r="A183" s="2" t="s">
        <v>227</v>
      </c>
      <c r="B183" s="2" t="s">
        <v>51</v>
      </c>
    </row>
    <row r="184" spans="1:2" x14ac:dyDescent="0.3">
      <c r="A184" s="2" t="s">
        <v>228</v>
      </c>
      <c r="B184" s="2" t="s">
        <v>229</v>
      </c>
    </row>
    <row r="185" spans="1:2" x14ac:dyDescent="0.3">
      <c r="A185" s="2" t="s">
        <v>230</v>
      </c>
      <c r="B185" s="2" t="s">
        <v>3</v>
      </c>
    </row>
    <row r="186" spans="1:2" x14ac:dyDescent="0.3">
      <c r="A186" s="2" t="s">
        <v>231</v>
      </c>
      <c r="B186" s="2" t="s">
        <v>56</v>
      </c>
    </row>
    <row r="187" spans="1:2" x14ac:dyDescent="0.3">
      <c r="A187" s="2" t="s">
        <v>232</v>
      </c>
      <c r="B187" s="2" t="s">
        <v>3</v>
      </c>
    </row>
    <row r="188" spans="1:2" x14ac:dyDescent="0.3">
      <c r="A188" s="2" t="s">
        <v>233</v>
      </c>
      <c r="B188" s="2" t="s">
        <v>59</v>
      </c>
    </row>
    <row r="189" spans="1:2" x14ac:dyDescent="0.3">
      <c r="A189" s="2" t="s">
        <v>234</v>
      </c>
      <c r="B189" s="2" t="s">
        <v>235</v>
      </c>
    </row>
    <row r="190" spans="1:2" x14ac:dyDescent="0.3">
      <c r="A190" s="2" t="s">
        <v>236</v>
      </c>
      <c r="B190" s="2" t="s">
        <v>3</v>
      </c>
    </row>
    <row r="191" spans="1:2" x14ac:dyDescent="0.3">
      <c r="A191" s="2" t="s">
        <v>237</v>
      </c>
      <c r="B191" s="2" t="s">
        <v>64</v>
      </c>
    </row>
    <row r="192" spans="1:2" x14ac:dyDescent="0.3">
      <c r="A192" s="2" t="s">
        <v>238</v>
      </c>
      <c r="B192" s="2" t="s">
        <v>3</v>
      </c>
    </row>
    <row r="193" spans="1:2" x14ac:dyDescent="0.3">
      <c r="A193" s="2" t="s">
        <v>239</v>
      </c>
      <c r="B193" s="2" t="s">
        <v>67</v>
      </c>
    </row>
    <row r="194" spans="1:2" x14ac:dyDescent="0.3">
      <c r="A194" s="2" t="s">
        <v>240</v>
      </c>
      <c r="B194" s="2" t="s">
        <v>69</v>
      </c>
    </row>
    <row r="195" spans="1:2" x14ac:dyDescent="0.3">
      <c r="A195" s="2" t="s">
        <v>241</v>
      </c>
      <c r="B195" s="2" t="s">
        <v>3</v>
      </c>
    </row>
    <row r="196" spans="1:2" x14ac:dyDescent="0.3">
      <c r="A196" s="2" t="s">
        <v>242</v>
      </c>
      <c r="B196" s="2" t="s">
        <v>75</v>
      </c>
    </row>
    <row r="197" spans="1:2" x14ac:dyDescent="0.3">
      <c r="A197" s="2" t="s">
        <v>243</v>
      </c>
      <c r="B197" s="2" t="s">
        <v>77</v>
      </c>
    </row>
    <row r="198" spans="1:2" x14ac:dyDescent="0.3">
      <c r="A198" s="2" t="s">
        <v>244</v>
      </c>
      <c r="B198" s="2" t="s">
        <v>3</v>
      </c>
    </row>
    <row r="199" spans="1:2" x14ac:dyDescent="0.3">
      <c r="A199" s="2" t="s">
        <v>245</v>
      </c>
      <c r="B199" s="2" t="s">
        <v>80</v>
      </c>
    </row>
    <row r="200" spans="1:2" x14ac:dyDescent="0.3">
      <c r="A200" s="2" t="s">
        <v>246</v>
      </c>
      <c r="B200" s="2" t="s">
        <v>3</v>
      </c>
    </row>
    <row r="201" spans="1:2" x14ac:dyDescent="0.3">
      <c r="A201" s="2" t="s">
        <v>247</v>
      </c>
      <c r="B201" s="2" t="s">
        <v>83</v>
      </c>
    </row>
    <row r="202" spans="1:2" x14ac:dyDescent="0.3">
      <c r="A202" s="2" t="s">
        <v>248</v>
      </c>
      <c r="B202" s="2" t="s">
        <v>3</v>
      </c>
    </row>
    <row r="203" spans="1:2" x14ac:dyDescent="0.3">
      <c r="A203" s="2" t="s">
        <v>249</v>
      </c>
      <c r="B203" s="2" t="s">
        <v>86</v>
      </c>
    </row>
    <row r="204" spans="1:2" x14ac:dyDescent="0.3">
      <c r="A204" s="2" t="s">
        <v>250</v>
      </c>
      <c r="B204" s="2" t="s">
        <v>3</v>
      </c>
    </row>
    <row r="205" spans="1:2" x14ac:dyDescent="0.3">
      <c r="A205" s="2" t="s">
        <v>251</v>
      </c>
      <c r="B205" s="2" t="s">
        <v>89</v>
      </c>
    </row>
    <row r="206" spans="1:2" x14ac:dyDescent="0.3">
      <c r="A206" s="2" t="s">
        <v>252</v>
      </c>
      <c r="B206" s="2" t="s">
        <v>3</v>
      </c>
    </row>
    <row r="207" spans="1:2" x14ac:dyDescent="0.3">
      <c r="A207" s="2" t="s">
        <v>253</v>
      </c>
      <c r="B207" s="2" t="s">
        <v>92</v>
      </c>
    </row>
    <row r="208" spans="1:2" x14ac:dyDescent="0.3">
      <c r="A208" s="2" t="s">
        <v>254</v>
      </c>
      <c r="B208" s="2" t="s">
        <v>3</v>
      </c>
    </row>
    <row r="209" spans="1:2" x14ac:dyDescent="0.3">
      <c r="A209" s="2" t="s">
        <v>255</v>
      </c>
      <c r="B209" s="2" t="s">
        <v>95</v>
      </c>
    </row>
    <row r="210" spans="1:2" x14ac:dyDescent="0.3">
      <c r="A210" s="2" t="s">
        <v>256</v>
      </c>
      <c r="B210" s="2" t="s">
        <v>3</v>
      </c>
    </row>
    <row r="211" spans="1:2" x14ac:dyDescent="0.3">
      <c r="A211" s="2" t="s">
        <v>257</v>
      </c>
      <c r="B211" s="2" t="s">
        <v>98</v>
      </c>
    </row>
    <row r="212" spans="1:2" x14ac:dyDescent="0.3">
      <c r="A212" s="2" t="s">
        <v>258</v>
      </c>
      <c r="B212" s="2" t="s">
        <v>3</v>
      </c>
    </row>
    <row r="213" spans="1:2" x14ac:dyDescent="0.3">
      <c r="A213" s="2" t="s">
        <v>259</v>
      </c>
      <c r="B213" s="2" t="s">
        <v>101</v>
      </c>
    </row>
    <row r="214" spans="1:2" x14ac:dyDescent="0.3">
      <c r="A214" s="2" t="s">
        <v>260</v>
      </c>
      <c r="B214" s="2" t="s">
        <v>3</v>
      </c>
    </row>
    <row r="215" spans="1:2" x14ac:dyDescent="0.3">
      <c r="A215" s="2" t="s">
        <v>261</v>
      </c>
      <c r="B215" s="2" t="s">
        <v>107</v>
      </c>
    </row>
    <row r="216" spans="1:2" x14ac:dyDescent="0.3">
      <c r="A216" s="2" t="s">
        <v>262</v>
      </c>
      <c r="B216" s="2" t="s">
        <v>3</v>
      </c>
    </row>
    <row r="217" spans="1:2" x14ac:dyDescent="0.3">
      <c r="A217" s="2" t="s">
        <v>263</v>
      </c>
      <c r="B217" s="2" t="s">
        <v>111</v>
      </c>
    </row>
    <row r="218" spans="1:2" x14ac:dyDescent="0.3">
      <c r="A218" s="2" t="s">
        <v>264</v>
      </c>
      <c r="B218" s="2" t="s">
        <v>3</v>
      </c>
    </row>
    <row r="219" spans="1:2" x14ac:dyDescent="0.3">
      <c r="A219" s="2" t="s">
        <v>265</v>
      </c>
      <c r="B219" s="2" t="s">
        <v>266</v>
      </c>
    </row>
    <row r="220" spans="1:2" x14ac:dyDescent="0.3">
      <c r="A220" s="2" t="s">
        <v>267</v>
      </c>
      <c r="B220" s="2" t="s">
        <v>3</v>
      </c>
    </row>
    <row r="221" spans="1:2" x14ac:dyDescent="0.3">
      <c r="A221" s="2" t="s">
        <v>268</v>
      </c>
      <c r="B221" s="2" t="s">
        <v>269</v>
      </c>
    </row>
    <row r="222" spans="1:2" x14ac:dyDescent="0.3">
      <c r="A222" s="2" t="s">
        <v>270</v>
      </c>
      <c r="B222" s="2" t="s">
        <v>3</v>
      </c>
    </row>
    <row r="223" spans="1:2" x14ac:dyDescent="0.3">
      <c r="A223" s="2" t="s">
        <v>271</v>
      </c>
      <c r="B223" s="2" t="s">
        <v>117</v>
      </c>
    </row>
    <row r="224" spans="1:2" x14ac:dyDescent="0.3">
      <c r="A224" s="2" t="s">
        <v>272</v>
      </c>
      <c r="B224" s="2" t="s">
        <v>3</v>
      </c>
    </row>
    <row r="225" spans="1:2" x14ac:dyDescent="0.3">
      <c r="A225" s="2" t="s">
        <v>273</v>
      </c>
      <c r="B225" s="2" t="s">
        <v>120</v>
      </c>
    </row>
    <row r="226" spans="1:2" x14ac:dyDescent="0.3">
      <c r="A226" s="2" t="s">
        <v>274</v>
      </c>
      <c r="B226" s="2" t="s">
        <v>3</v>
      </c>
    </row>
    <row r="227" spans="1:2" x14ac:dyDescent="0.3">
      <c r="A227" s="2" t="s">
        <v>275</v>
      </c>
      <c r="B227" s="2" t="s">
        <v>3</v>
      </c>
    </row>
    <row r="228" spans="1:2" x14ac:dyDescent="0.3">
      <c r="A228" s="2" t="s">
        <v>276</v>
      </c>
      <c r="B228" s="2" t="s">
        <v>5</v>
      </c>
    </row>
    <row r="229" spans="1:2" x14ac:dyDescent="0.3">
      <c r="A229" s="2" t="s">
        <v>277</v>
      </c>
      <c r="B229" s="2" t="s">
        <v>3</v>
      </c>
    </row>
    <row r="230" spans="1:2" x14ac:dyDescent="0.3">
      <c r="A230" s="2" t="s">
        <v>278</v>
      </c>
      <c r="B230" s="2" t="s">
        <v>8</v>
      </c>
    </row>
    <row r="231" spans="1:2" x14ac:dyDescent="0.3">
      <c r="A231" s="2" t="s">
        <v>279</v>
      </c>
      <c r="B231" s="2" t="s">
        <v>10</v>
      </c>
    </row>
    <row r="232" spans="1:2" x14ac:dyDescent="0.3">
      <c r="A232" s="2" t="s">
        <v>280</v>
      </c>
      <c r="B232" s="2" t="s">
        <v>3</v>
      </c>
    </row>
    <row r="233" spans="1:2" x14ac:dyDescent="0.3">
      <c r="A233" s="2" t="s">
        <v>281</v>
      </c>
      <c r="B233" s="2" t="s">
        <v>13</v>
      </c>
    </row>
    <row r="234" spans="1:2" x14ac:dyDescent="0.3">
      <c r="A234" s="2" t="s">
        <v>282</v>
      </c>
      <c r="B234" s="2" t="s">
        <v>3</v>
      </c>
    </row>
    <row r="235" spans="1:2" x14ac:dyDescent="0.3">
      <c r="A235" s="2" t="s">
        <v>283</v>
      </c>
      <c r="B235" s="2" t="s">
        <v>16</v>
      </c>
    </row>
    <row r="236" spans="1:2" x14ac:dyDescent="0.3">
      <c r="A236" s="2" t="s">
        <v>284</v>
      </c>
      <c r="B236" s="2" t="s">
        <v>3</v>
      </c>
    </row>
    <row r="237" spans="1:2" x14ac:dyDescent="0.3">
      <c r="A237" s="2" t="s">
        <v>285</v>
      </c>
      <c r="B237" s="2" t="s">
        <v>19</v>
      </c>
    </row>
    <row r="238" spans="1:2" x14ac:dyDescent="0.3">
      <c r="A238" s="2" t="s">
        <v>286</v>
      </c>
      <c r="B238" s="2" t="s">
        <v>21</v>
      </c>
    </row>
    <row r="239" spans="1:2" x14ac:dyDescent="0.3">
      <c r="A239" s="2" t="s">
        <v>287</v>
      </c>
      <c r="B239" s="2" t="s">
        <v>3</v>
      </c>
    </row>
    <row r="240" spans="1:2" x14ac:dyDescent="0.3">
      <c r="A240" s="2" t="s">
        <v>288</v>
      </c>
      <c r="B240" s="2" t="s">
        <v>24</v>
      </c>
    </row>
    <row r="241" spans="1:2" x14ac:dyDescent="0.3">
      <c r="A241" s="2" t="s">
        <v>289</v>
      </c>
      <c r="B241" s="2" t="s">
        <v>3</v>
      </c>
    </row>
    <row r="242" spans="1:2" x14ac:dyDescent="0.3">
      <c r="A242" s="2" t="s">
        <v>290</v>
      </c>
      <c r="B242" s="2" t="s">
        <v>27</v>
      </c>
    </row>
    <row r="243" spans="1:2" x14ac:dyDescent="0.3">
      <c r="A243" s="2" t="s">
        <v>291</v>
      </c>
      <c r="B243" s="2" t="s">
        <v>29</v>
      </c>
    </row>
    <row r="244" spans="1:2" x14ac:dyDescent="0.3">
      <c r="A244" s="2" t="s">
        <v>292</v>
      </c>
      <c r="B244" s="2" t="s">
        <v>3</v>
      </c>
    </row>
    <row r="245" spans="1:2" x14ac:dyDescent="0.3">
      <c r="A245" s="2" t="s">
        <v>293</v>
      </c>
      <c r="B245" s="2" t="s">
        <v>32</v>
      </c>
    </row>
    <row r="246" spans="1:2" x14ac:dyDescent="0.3">
      <c r="A246" s="2" t="s">
        <v>294</v>
      </c>
      <c r="B246" s="2" t="s">
        <v>3</v>
      </c>
    </row>
    <row r="247" spans="1:2" x14ac:dyDescent="0.3">
      <c r="A247" s="2" t="s">
        <v>295</v>
      </c>
      <c r="B247" s="2" t="s">
        <v>35</v>
      </c>
    </row>
    <row r="248" spans="1:2" x14ac:dyDescent="0.3">
      <c r="A248" s="2" t="s">
        <v>296</v>
      </c>
      <c r="B248" s="2" t="s">
        <v>37</v>
      </c>
    </row>
    <row r="249" spans="1:2" x14ac:dyDescent="0.3">
      <c r="A249" s="2" t="s">
        <v>297</v>
      </c>
      <c r="B249" s="2" t="s">
        <v>3</v>
      </c>
    </row>
    <row r="250" spans="1:2" x14ac:dyDescent="0.3">
      <c r="A250" s="2" t="s">
        <v>298</v>
      </c>
      <c r="B250" s="2" t="s">
        <v>40</v>
      </c>
    </row>
    <row r="251" spans="1:2" x14ac:dyDescent="0.3">
      <c r="A251" s="2" t="s">
        <v>299</v>
      </c>
      <c r="B251" s="2" t="s">
        <v>3</v>
      </c>
    </row>
    <row r="252" spans="1:2" x14ac:dyDescent="0.3">
      <c r="A252" s="2" t="s">
        <v>300</v>
      </c>
      <c r="B252" s="2" t="s">
        <v>43</v>
      </c>
    </row>
    <row r="253" spans="1:2" x14ac:dyDescent="0.3">
      <c r="A253" s="2" t="s">
        <v>301</v>
      </c>
      <c r="B253" s="2" t="s">
        <v>45</v>
      </c>
    </row>
    <row r="254" spans="1:2" x14ac:dyDescent="0.3">
      <c r="A254" s="2" t="s">
        <v>302</v>
      </c>
      <c r="B254" s="2" t="s">
        <v>3</v>
      </c>
    </row>
    <row r="255" spans="1:2" x14ac:dyDescent="0.3">
      <c r="A255" s="2" t="s">
        <v>303</v>
      </c>
      <c r="B255" s="2" t="s">
        <v>48</v>
      </c>
    </row>
    <row r="256" spans="1:2" x14ac:dyDescent="0.3">
      <c r="A256" s="2" t="s">
        <v>304</v>
      </c>
      <c r="B256" s="2" t="s">
        <v>3</v>
      </c>
    </row>
    <row r="257" spans="1:2" x14ac:dyDescent="0.3">
      <c r="A257" s="2" t="s">
        <v>305</v>
      </c>
      <c r="B257" s="2" t="s">
        <v>51</v>
      </c>
    </row>
    <row r="258" spans="1:2" x14ac:dyDescent="0.3">
      <c r="A258" s="2" t="s">
        <v>306</v>
      </c>
      <c r="B258" s="2" t="s">
        <v>307</v>
      </c>
    </row>
    <row r="259" spans="1:2" x14ac:dyDescent="0.3">
      <c r="A259" s="2" t="s">
        <v>308</v>
      </c>
      <c r="B259" s="2" t="s">
        <v>3</v>
      </c>
    </row>
    <row r="260" spans="1:2" x14ac:dyDescent="0.3">
      <c r="A260" s="2" t="s">
        <v>309</v>
      </c>
      <c r="B260" s="2" t="s">
        <v>56</v>
      </c>
    </row>
    <row r="261" spans="1:2" x14ac:dyDescent="0.3">
      <c r="A261" s="2" t="s">
        <v>310</v>
      </c>
      <c r="B261" s="2" t="s">
        <v>3</v>
      </c>
    </row>
    <row r="262" spans="1:2" x14ac:dyDescent="0.3">
      <c r="A262" s="2" t="s">
        <v>311</v>
      </c>
      <c r="B262" s="2" t="s">
        <v>59</v>
      </c>
    </row>
    <row r="263" spans="1:2" x14ac:dyDescent="0.3">
      <c r="A263" s="2" t="s">
        <v>312</v>
      </c>
      <c r="B263" s="2" t="s">
        <v>313</v>
      </c>
    </row>
    <row r="264" spans="1:2" x14ac:dyDescent="0.3">
      <c r="A264" s="2" t="s">
        <v>314</v>
      </c>
      <c r="B264" s="2" t="s">
        <v>3</v>
      </c>
    </row>
    <row r="265" spans="1:2" x14ac:dyDescent="0.3">
      <c r="A265" s="2" t="s">
        <v>315</v>
      </c>
      <c r="B265" s="2" t="s">
        <v>64</v>
      </c>
    </row>
    <row r="266" spans="1:2" x14ac:dyDescent="0.3">
      <c r="A266" s="2" t="s">
        <v>316</v>
      </c>
      <c r="B266" s="2" t="s">
        <v>3</v>
      </c>
    </row>
    <row r="267" spans="1:2" x14ac:dyDescent="0.3">
      <c r="A267" s="2" t="s">
        <v>317</v>
      </c>
      <c r="B267" s="2" t="s">
        <v>67</v>
      </c>
    </row>
    <row r="268" spans="1:2" x14ac:dyDescent="0.3">
      <c r="A268" s="2" t="s">
        <v>318</v>
      </c>
      <c r="B268" s="2" t="s">
        <v>69</v>
      </c>
    </row>
    <row r="269" spans="1:2" x14ac:dyDescent="0.3">
      <c r="A269" s="2" t="s">
        <v>319</v>
      </c>
      <c r="B269" s="2" t="s">
        <v>3</v>
      </c>
    </row>
    <row r="270" spans="1:2" x14ac:dyDescent="0.3">
      <c r="A270" s="2" t="s">
        <v>320</v>
      </c>
      <c r="B270" s="2" t="s">
        <v>75</v>
      </c>
    </row>
    <row r="271" spans="1:2" x14ac:dyDescent="0.3">
      <c r="A271" s="2" t="s">
        <v>321</v>
      </c>
      <c r="B271" s="2" t="s">
        <v>3</v>
      </c>
    </row>
    <row r="272" spans="1:2" x14ac:dyDescent="0.3">
      <c r="A272" s="2" t="s">
        <v>322</v>
      </c>
      <c r="B272" s="2" t="s">
        <v>80</v>
      </c>
    </row>
    <row r="273" spans="1:2" x14ac:dyDescent="0.3">
      <c r="A273" s="2" t="s">
        <v>323</v>
      </c>
      <c r="B273" s="2" t="s">
        <v>3</v>
      </c>
    </row>
    <row r="274" spans="1:2" x14ac:dyDescent="0.3">
      <c r="A274" s="2" t="s">
        <v>324</v>
      </c>
      <c r="B274" s="2" t="s">
        <v>83</v>
      </c>
    </row>
    <row r="275" spans="1:2" x14ac:dyDescent="0.3">
      <c r="A275" s="2" t="s">
        <v>325</v>
      </c>
      <c r="B275" s="2" t="s">
        <v>3</v>
      </c>
    </row>
    <row r="276" spans="1:2" x14ac:dyDescent="0.3">
      <c r="A276" s="2" t="s">
        <v>326</v>
      </c>
      <c r="B276" s="2" t="s">
        <v>86</v>
      </c>
    </row>
    <row r="277" spans="1:2" x14ac:dyDescent="0.3">
      <c r="A277" s="2" t="s">
        <v>327</v>
      </c>
      <c r="B277" s="2" t="s">
        <v>3</v>
      </c>
    </row>
    <row r="278" spans="1:2" x14ac:dyDescent="0.3">
      <c r="A278" s="2" t="s">
        <v>328</v>
      </c>
      <c r="B278" s="2" t="s">
        <v>89</v>
      </c>
    </row>
    <row r="279" spans="1:2" x14ac:dyDescent="0.3">
      <c r="A279" s="2" t="s">
        <v>329</v>
      </c>
      <c r="B279" s="2" t="s">
        <v>3</v>
      </c>
    </row>
    <row r="280" spans="1:2" x14ac:dyDescent="0.3">
      <c r="A280" s="2" t="s">
        <v>330</v>
      </c>
      <c r="B280" s="2" t="s">
        <v>92</v>
      </c>
    </row>
    <row r="281" spans="1:2" x14ac:dyDescent="0.3">
      <c r="A281" s="2" t="s">
        <v>331</v>
      </c>
      <c r="B281" s="2" t="s">
        <v>3</v>
      </c>
    </row>
    <row r="282" spans="1:2" x14ac:dyDescent="0.3">
      <c r="A282" s="2" t="s">
        <v>332</v>
      </c>
      <c r="B282" s="2" t="s">
        <v>95</v>
      </c>
    </row>
    <row r="283" spans="1:2" x14ac:dyDescent="0.3">
      <c r="A283" s="2" t="s">
        <v>333</v>
      </c>
      <c r="B283" s="2" t="s">
        <v>3</v>
      </c>
    </row>
    <row r="284" spans="1:2" x14ac:dyDescent="0.3">
      <c r="A284" s="2" t="s">
        <v>334</v>
      </c>
      <c r="B284" s="2" t="s">
        <v>98</v>
      </c>
    </row>
    <row r="285" spans="1:2" x14ac:dyDescent="0.3">
      <c r="A285" s="2" t="s">
        <v>335</v>
      </c>
      <c r="B285" s="2" t="s">
        <v>3</v>
      </c>
    </row>
    <row r="286" spans="1:2" x14ac:dyDescent="0.3">
      <c r="A286" s="2" t="s">
        <v>336</v>
      </c>
      <c r="B286" s="2" t="s">
        <v>101</v>
      </c>
    </row>
    <row r="287" spans="1:2" x14ac:dyDescent="0.3">
      <c r="A287" s="2" t="s">
        <v>337</v>
      </c>
      <c r="B287" s="2" t="s">
        <v>3</v>
      </c>
    </row>
    <row r="288" spans="1:2" x14ac:dyDescent="0.3">
      <c r="A288" s="2" t="s">
        <v>338</v>
      </c>
      <c r="B288" s="2" t="s">
        <v>107</v>
      </c>
    </row>
    <row r="289" spans="1:2" x14ac:dyDescent="0.3">
      <c r="A289" s="2" t="s">
        <v>339</v>
      </c>
      <c r="B289" s="2" t="s">
        <v>3</v>
      </c>
    </row>
    <row r="290" spans="1:2" x14ac:dyDescent="0.3">
      <c r="A290" s="2" t="s">
        <v>340</v>
      </c>
      <c r="B290" s="2" t="s">
        <v>111</v>
      </c>
    </row>
    <row r="291" spans="1:2" x14ac:dyDescent="0.3">
      <c r="A291" s="2" t="s">
        <v>341</v>
      </c>
      <c r="B291" s="2" t="s">
        <v>3</v>
      </c>
    </row>
    <row r="292" spans="1:2" x14ac:dyDescent="0.3">
      <c r="A292" s="2" t="s">
        <v>342</v>
      </c>
      <c r="B292" s="2" t="s">
        <v>266</v>
      </c>
    </row>
    <row r="293" spans="1:2" x14ac:dyDescent="0.3">
      <c r="A293" s="2" t="s">
        <v>343</v>
      </c>
      <c r="B293" s="2" t="s">
        <v>3</v>
      </c>
    </row>
    <row r="294" spans="1:2" x14ac:dyDescent="0.3">
      <c r="A294" s="2" t="s">
        <v>344</v>
      </c>
      <c r="B294" s="2" t="s">
        <v>269</v>
      </c>
    </row>
    <row r="295" spans="1:2" x14ac:dyDescent="0.3">
      <c r="A295" s="2" t="s">
        <v>345</v>
      </c>
      <c r="B295" s="2" t="s">
        <v>3</v>
      </c>
    </row>
    <row r="296" spans="1:2" x14ac:dyDescent="0.3">
      <c r="A296" s="2" t="s">
        <v>346</v>
      </c>
      <c r="B296" s="2" t="s">
        <v>117</v>
      </c>
    </row>
    <row r="297" spans="1:2" x14ac:dyDescent="0.3">
      <c r="A297" s="2" t="s">
        <v>347</v>
      </c>
      <c r="B297" s="2" t="s">
        <v>3</v>
      </c>
    </row>
    <row r="298" spans="1:2" x14ac:dyDescent="0.3">
      <c r="A298" s="2" t="s">
        <v>348</v>
      </c>
      <c r="B298" s="2" t="s">
        <v>120</v>
      </c>
    </row>
    <row r="299" spans="1:2" x14ac:dyDescent="0.3">
      <c r="A299" s="2" t="s">
        <v>349</v>
      </c>
      <c r="B299" s="2" t="s">
        <v>3</v>
      </c>
    </row>
    <row r="300" spans="1:2" x14ac:dyDescent="0.3">
      <c r="A300" s="2" t="s">
        <v>350</v>
      </c>
      <c r="B300" s="2" t="s">
        <v>3</v>
      </c>
    </row>
    <row r="301" spans="1:2" x14ac:dyDescent="0.3">
      <c r="A301" s="2" t="s">
        <v>351</v>
      </c>
      <c r="B301" s="2" t="s">
        <v>5</v>
      </c>
    </row>
    <row r="302" spans="1:2" x14ac:dyDescent="0.3">
      <c r="A302" s="2" t="s">
        <v>352</v>
      </c>
      <c r="B302" s="2" t="s">
        <v>3</v>
      </c>
    </row>
    <row r="303" spans="1:2" x14ac:dyDescent="0.3">
      <c r="A303" s="2" t="s">
        <v>353</v>
      </c>
      <c r="B303" s="2" t="s">
        <v>8</v>
      </c>
    </row>
    <row r="304" spans="1:2" x14ac:dyDescent="0.3">
      <c r="A304" s="2" t="s">
        <v>354</v>
      </c>
      <c r="B304" s="2" t="s">
        <v>10</v>
      </c>
    </row>
    <row r="305" spans="1:2" x14ac:dyDescent="0.3">
      <c r="A305" s="2" t="s">
        <v>355</v>
      </c>
      <c r="B305" s="2" t="s">
        <v>3</v>
      </c>
    </row>
    <row r="306" spans="1:2" x14ac:dyDescent="0.3">
      <c r="A306" s="2" t="s">
        <v>356</v>
      </c>
      <c r="B306" s="2" t="s">
        <v>13</v>
      </c>
    </row>
    <row r="307" spans="1:2" x14ac:dyDescent="0.3">
      <c r="A307" s="2" t="s">
        <v>357</v>
      </c>
      <c r="B307" s="2" t="s">
        <v>3</v>
      </c>
    </row>
    <row r="308" spans="1:2" x14ac:dyDescent="0.3">
      <c r="A308" s="2" t="s">
        <v>358</v>
      </c>
      <c r="B308" s="2" t="s">
        <v>16</v>
      </c>
    </row>
    <row r="309" spans="1:2" x14ac:dyDescent="0.3">
      <c r="A309" s="2" t="s">
        <v>359</v>
      </c>
      <c r="B309" s="2" t="s">
        <v>3</v>
      </c>
    </row>
    <row r="310" spans="1:2" x14ac:dyDescent="0.3">
      <c r="A310" s="2" t="s">
        <v>360</v>
      </c>
      <c r="B310" s="2" t="s">
        <v>19</v>
      </c>
    </row>
    <row r="311" spans="1:2" x14ac:dyDescent="0.3">
      <c r="A311" s="2" t="s">
        <v>361</v>
      </c>
      <c r="B311" s="2" t="s">
        <v>21</v>
      </c>
    </row>
    <row r="312" spans="1:2" x14ac:dyDescent="0.3">
      <c r="A312" s="2" t="s">
        <v>362</v>
      </c>
      <c r="B312" s="2" t="s">
        <v>3</v>
      </c>
    </row>
    <row r="313" spans="1:2" x14ac:dyDescent="0.3">
      <c r="A313" s="2" t="s">
        <v>363</v>
      </c>
      <c r="B313" s="2" t="s">
        <v>24</v>
      </c>
    </row>
    <row r="314" spans="1:2" x14ac:dyDescent="0.3">
      <c r="A314" s="2" t="s">
        <v>364</v>
      </c>
      <c r="B314" s="2" t="s">
        <v>3</v>
      </c>
    </row>
    <row r="315" spans="1:2" x14ac:dyDescent="0.3">
      <c r="A315" s="2" t="s">
        <v>365</v>
      </c>
      <c r="B315" s="2" t="s">
        <v>27</v>
      </c>
    </row>
    <row r="316" spans="1:2" x14ac:dyDescent="0.3">
      <c r="A316" s="2" t="s">
        <v>366</v>
      </c>
      <c r="B316" s="2" t="s">
        <v>29</v>
      </c>
    </row>
    <row r="317" spans="1:2" x14ac:dyDescent="0.3">
      <c r="A317" s="2" t="s">
        <v>367</v>
      </c>
      <c r="B317" s="2" t="s">
        <v>3</v>
      </c>
    </row>
    <row r="318" spans="1:2" x14ac:dyDescent="0.3">
      <c r="A318" s="2" t="s">
        <v>368</v>
      </c>
      <c r="B318" s="2" t="s">
        <v>32</v>
      </c>
    </row>
    <row r="319" spans="1:2" x14ac:dyDescent="0.3">
      <c r="A319" s="2" t="s">
        <v>369</v>
      </c>
      <c r="B319" s="2" t="s">
        <v>3</v>
      </c>
    </row>
    <row r="320" spans="1:2" x14ac:dyDescent="0.3">
      <c r="A320" s="2" t="s">
        <v>370</v>
      </c>
      <c r="B320" s="2" t="s">
        <v>35</v>
      </c>
    </row>
    <row r="321" spans="1:2" x14ac:dyDescent="0.3">
      <c r="A321" s="2" t="s">
        <v>371</v>
      </c>
      <c r="B321" s="2" t="s">
        <v>37</v>
      </c>
    </row>
    <row r="322" spans="1:2" x14ac:dyDescent="0.3">
      <c r="A322" s="2" t="s">
        <v>372</v>
      </c>
      <c r="B322" s="2" t="s">
        <v>3</v>
      </c>
    </row>
    <row r="323" spans="1:2" x14ac:dyDescent="0.3">
      <c r="A323" s="2" t="s">
        <v>373</v>
      </c>
      <c r="B323" s="2" t="s">
        <v>40</v>
      </c>
    </row>
    <row r="324" spans="1:2" x14ac:dyDescent="0.3">
      <c r="A324" s="2" t="s">
        <v>374</v>
      </c>
      <c r="B324" s="2" t="s">
        <v>3</v>
      </c>
    </row>
    <row r="325" spans="1:2" x14ac:dyDescent="0.3">
      <c r="A325" s="2" t="s">
        <v>375</v>
      </c>
      <c r="B325" s="2" t="s">
        <v>43</v>
      </c>
    </row>
    <row r="326" spans="1:2" x14ac:dyDescent="0.3">
      <c r="A326" s="2" t="s">
        <v>376</v>
      </c>
      <c r="B326" s="2" t="s">
        <v>45</v>
      </c>
    </row>
    <row r="327" spans="1:2" x14ac:dyDescent="0.3">
      <c r="A327" s="2" t="s">
        <v>377</v>
      </c>
      <c r="B327" s="2" t="s">
        <v>3</v>
      </c>
    </row>
    <row r="328" spans="1:2" x14ac:dyDescent="0.3">
      <c r="A328" s="2" t="s">
        <v>378</v>
      </c>
      <c r="B328" s="2" t="s">
        <v>48</v>
      </c>
    </row>
    <row r="329" spans="1:2" x14ac:dyDescent="0.3">
      <c r="A329" s="2" t="s">
        <v>379</v>
      </c>
      <c r="B329" s="2" t="s">
        <v>3</v>
      </c>
    </row>
    <row r="330" spans="1:2" x14ac:dyDescent="0.3">
      <c r="A330" s="2" t="s">
        <v>380</v>
      </c>
      <c r="B330" s="2" t="s">
        <v>51</v>
      </c>
    </row>
    <row r="331" spans="1:2" x14ac:dyDescent="0.3">
      <c r="A331" s="2" t="s">
        <v>381</v>
      </c>
      <c r="B331" s="2" t="s">
        <v>382</v>
      </c>
    </row>
    <row r="332" spans="1:2" x14ac:dyDescent="0.3">
      <c r="A332" s="2" t="s">
        <v>383</v>
      </c>
      <c r="B332" s="2" t="s">
        <v>3</v>
      </c>
    </row>
    <row r="333" spans="1:2" x14ac:dyDescent="0.3">
      <c r="A333" s="2" t="s">
        <v>384</v>
      </c>
      <c r="B333" s="2" t="s">
        <v>56</v>
      </c>
    </row>
    <row r="334" spans="1:2" x14ac:dyDescent="0.3">
      <c r="A334" s="2" t="s">
        <v>385</v>
      </c>
      <c r="B334" s="2" t="s">
        <v>3</v>
      </c>
    </row>
    <row r="335" spans="1:2" x14ac:dyDescent="0.3">
      <c r="A335" s="2" t="s">
        <v>386</v>
      </c>
      <c r="B335" s="2" t="s">
        <v>59</v>
      </c>
    </row>
    <row r="336" spans="1:2" x14ac:dyDescent="0.3">
      <c r="A336" s="2" t="s">
        <v>387</v>
      </c>
      <c r="B336" s="2" t="s">
        <v>388</v>
      </c>
    </row>
    <row r="337" spans="1:2" x14ac:dyDescent="0.3">
      <c r="A337" s="2" t="s">
        <v>389</v>
      </c>
      <c r="B337" s="2" t="s">
        <v>3</v>
      </c>
    </row>
    <row r="338" spans="1:2" x14ac:dyDescent="0.3">
      <c r="A338" s="2" t="s">
        <v>390</v>
      </c>
      <c r="B338" s="2" t="s">
        <v>64</v>
      </c>
    </row>
    <row r="339" spans="1:2" x14ac:dyDescent="0.3">
      <c r="A339" s="2" t="s">
        <v>391</v>
      </c>
      <c r="B339" s="2" t="s">
        <v>3</v>
      </c>
    </row>
    <row r="340" spans="1:2" x14ac:dyDescent="0.3">
      <c r="A340" s="2" t="s">
        <v>392</v>
      </c>
      <c r="B340" s="2" t="s">
        <v>67</v>
      </c>
    </row>
    <row r="341" spans="1:2" x14ac:dyDescent="0.3">
      <c r="A341" s="2" t="s">
        <v>393</v>
      </c>
      <c r="B341" s="2" t="s">
        <v>77</v>
      </c>
    </row>
    <row r="342" spans="1:2" x14ac:dyDescent="0.3">
      <c r="A342" s="2" t="s">
        <v>394</v>
      </c>
      <c r="B342" s="2" t="s">
        <v>3</v>
      </c>
    </row>
    <row r="343" spans="1:2" x14ac:dyDescent="0.3">
      <c r="A343" s="2" t="s">
        <v>395</v>
      </c>
      <c r="B343" s="2" t="s">
        <v>75</v>
      </c>
    </row>
    <row r="344" spans="1:2" x14ac:dyDescent="0.3">
      <c r="A344" s="2" t="s">
        <v>396</v>
      </c>
      <c r="B344" s="2" t="s">
        <v>3</v>
      </c>
    </row>
    <row r="345" spans="1:2" x14ac:dyDescent="0.3">
      <c r="A345" s="2" t="s">
        <v>397</v>
      </c>
      <c r="B345" s="2" t="s">
        <v>80</v>
      </c>
    </row>
    <row r="346" spans="1:2" x14ac:dyDescent="0.3">
      <c r="A346" s="2" t="s">
        <v>398</v>
      </c>
      <c r="B346" s="2" t="s">
        <v>3</v>
      </c>
    </row>
    <row r="347" spans="1:2" x14ac:dyDescent="0.3">
      <c r="A347" s="2" t="s">
        <v>399</v>
      </c>
      <c r="B347" s="2" t="s">
        <v>83</v>
      </c>
    </row>
    <row r="348" spans="1:2" x14ac:dyDescent="0.3">
      <c r="A348" s="2" t="s">
        <v>400</v>
      </c>
      <c r="B348" s="2" t="s">
        <v>3</v>
      </c>
    </row>
    <row r="349" spans="1:2" x14ac:dyDescent="0.3">
      <c r="A349" s="2" t="s">
        <v>401</v>
      </c>
      <c r="B349" s="2" t="s">
        <v>86</v>
      </c>
    </row>
    <row r="350" spans="1:2" x14ac:dyDescent="0.3">
      <c r="A350" s="2" t="s">
        <v>402</v>
      </c>
      <c r="B350" s="2" t="s">
        <v>3</v>
      </c>
    </row>
    <row r="351" spans="1:2" x14ac:dyDescent="0.3">
      <c r="A351" s="2" t="s">
        <v>403</v>
      </c>
      <c r="B351" s="2" t="s">
        <v>89</v>
      </c>
    </row>
    <row r="352" spans="1:2" x14ac:dyDescent="0.3">
      <c r="A352" s="2" t="s">
        <v>404</v>
      </c>
      <c r="B352" s="2" t="s">
        <v>3</v>
      </c>
    </row>
    <row r="353" spans="1:2" x14ac:dyDescent="0.3">
      <c r="A353" s="2" t="s">
        <v>405</v>
      </c>
      <c r="B353" s="2" t="s">
        <v>92</v>
      </c>
    </row>
    <row r="354" spans="1:2" x14ac:dyDescent="0.3">
      <c r="A354" s="2" t="s">
        <v>406</v>
      </c>
      <c r="B354" s="2" t="s">
        <v>3</v>
      </c>
    </row>
    <row r="355" spans="1:2" x14ac:dyDescent="0.3">
      <c r="A355" s="2" t="s">
        <v>407</v>
      </c>
      <c r="B355" s="2" t="s">
        <v>95</v>
      </c>
    </row>
    <row r="356" spans="1:2" x14ac:dyDescent="0.3">
      <c r="A356" s="2" t="s">
        <v>408</v>
      </c>
      <c r="B356" s="2" t="s">
        <v>3</v>
      </c>
    </row>
    <row r="357" spans="1:2" x14ac:dyDescent="0.3">
      <c r="A357" s="2" t="s">
        <v>409</v>
      </c>
      <c r="B357" s="2" t="s">
        <v>98</v>
      </c>
    </row>
    <row r="358" spans="1:2" x14ac:dyDescent="0.3">
      <c r="A358" s="2" t="s">
        <v>410</v>
      </c>
      <c r="B358" s="2" t="s">
        <v>3</v>
      </c>
    </row>
    <row r="359" spans="1:2" x14ac:dyDescent="0.3">
      <c r="A359" s="2" t="s">
        <v>411</v>
      </c>
      <c r="B359" s="2" t="s">
        <v>101</v>
      </c>
    </row>
    <row r="360" spans="1:2" x14ac:dyDescent="0.3">
      <c r="A360" s="2" t="s">
        <v>412</v>
      </c>
      <c r="B360" s="2" t="s">
        <v>3</v>
      </c>
    </row>
    <row r="361" spans="1:2" x14ac:dyDescent="0.3">
      <c r="A361" s="2" t="s">
        <v>413</v>
      </c>
      <c r="B361" s="2" t="s">
        <v>107</v>
      </c>
    </row>
    <row r="362" spans="1:2" x14ac:dyDescent="0.3">
      <c r="A362" s="2" t="s">
        <v>414</v>
      </c>
      <c r="B362" s="2" t="s">
        <v>3</v>
      </c>
    </row>
    <row r="363" spans="1:2" x14ac:dyDescent="0.3">
      <c r="A363" s="2" t="s">
        <v>415</v>
      </c>
      <c r="B363" s="2" t="s">
        <v>111</v>
      </c>
    </row>
    <row r="364" spans="1:2" x14ac:dyDescent="0.3">
      <c r="A364" s="2" t="s">
        <v>416</v>
      </c>
      <c r="B364" s="2" t="s">
        <v>3</v>
      </c>
    </row>
    <row r="365" spans="1:2" x14ac:dyDescent="0.3">
      <c r="A365" s="2" t="s">
        <v>417</v>
      </c>
      <c r="B365" s="2" t="s">
        <v>269</v>
      </c>
    </row>
    <row r="366" spans="1:2" x14ac:dyDescent="0.3">
      <c r="A366" s="2" t="s">
        <v>418</v>
      </c>
      <c r="B366" s="2" t="s">
        <v>3</v>
      </c>
    </row>
    <row r="367" spans="1:2" x14ac:dyDescent="0.3">
      <c r="A367" s="2" t="s">
        <v>419</v>
      </c>
      <c r="B367" s="2" t="s">
        <v>117</v>
      </c>
    </row>
    <row r="368" spans="1:2" x14ac:dyDescent="0.3">
      <c r="A368" s="2" t="s">
        <v>420</v>
      </c>
      <c r="B368" s="2" t="s">
        <v>3</v>
      </c>
    </row>
    <row r="369" spans="2:2" x14ac:dyDescent="0.3">
      <c r="B369" s="2" t="s">
        <v>569</v>
      </c>
    </row>
    <row r="370" spans="2:2" x14ac:dyDescent="0.3">
      <c r="B370" s="2" t="s">
        <v>555</v>
      </c>
    </row>
  </sheetData>
  <autoFilter ref="A1:E370" xr:uid="{58F8502A-8C6F-4D1C-B96A-1E235D838265}"/>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15F9A-81E6-469F-8C5F-1C8F53BAC5B2}">
  <dimension ref="A1:A190"/>
  <sheetViews>
    <sheetView workbookViewId="0">
      <selection sqref="A1:XFD1"/>
    </sheetView>
  </sheetViews>
  <sheetFormatPr defaultRowHeight="14.4" x14ac:dyDescent="0.3"/>
  <cols>
    <col min="1" max="16384" width="8.88671875" style="2"/>
  </cols>
  <sheetData>
    <row r="1" spans="1:1" s="1" customFormat="1" x14ac:dyDescent="0.3">
      <c r="A1" s="1" t="s">
        <v>1</v>
      </c>
    </row>
    <row r="2" spans="1:1" x14ac:dyDescent="0.3">
      <c r="A2" s="2" t="str">
        <f>'Nation Wise Summary'!A2</f>
        <v>India</v>
      </c>
    </row>
    <row r="3" spans="1:1" x14ac:dyDescent="0.3">
      <c r="A3" s="2" t="str">
        <f>'Nation Wise Summary'!A3</f>
        <v>China</v>
      </c>
    </row>
    <row r="4" spans="1:1" x14ac:dyDescent="0.3">
      <c r="A4" s="2" t="str">
        <f>'Nation Wise Summary'!A4</f>
        <v>United States</v>
      </c>
    </row>
    <row r="5" spans="1:1" x14ac:dyDescent="0.3">
      <c r="A5" s="2" t="str">
        <f>'Nation Wise Summary'!A5</f>
        <v>Indonesia</v>
      </c>
    </row>
    <row r="6" spans="1:1" x14ac:dyDescent="0.3">
      <c r="A6" s="2" t="str">
        <f>'Nation Wise Summary'!A6</f>
        <v>Pakistan</v>
      </c>
    </row>
    <row r="7" spans="1:1" x14ac:dyDescent="0.3">
      <c r="A7" s="2" t="str">
        <f>'Nation Wise Summary'!A7</f>
        <v>Nigeria</v>
      </c>
    </row>
    <row r="8" spans="1:1" x14ac:dyDescent="0.3">
      <c r="A8" s="2" t="str">
        <f>'Nation Wise Summary'!A8</f>
        <v>Brazil</v>
      </c>
    </row>
    <row r="9" spans="1:1" x14ac:dyDescent="0.3">
      <c r="A9" s="2" t="str">
        <f>'Nation Wise Summary'!A9</f>
        <v>Bangladesh</v>
      </c>
    </row>
    <row r="10" spans="1:1" x14ac:dyDescent="0.3">
      <c r="A10" s="2" t="str">
        <f>'Nation Wise Summary'!A10</f>
        <v>Russia</v>
      </c>
    </row>
    <row r="11" spans="1:1" x14ac:dyDescent="0.3">
      <c r="A11" s="2" t="str">
        <f>'Nation Wise Summary'!A11</f>
        <v>Ethiopia</v>
      </c>
    </row>
    <row r="12" spans="1:1" x14ac:dyDescent="0.3">
      <c r="A12" s="2" t="str">
        <f>'Nation Wise Summary'!A12</f>
        <v>Mexico</v>
      </c>
    </row>
    <row r="13" spans="1:1" x14ac:dyDescent="0.3">
      <c r="A13" s="2" t="str">
        <f>'Nation Wise Summary'!A13</f>
        <v>Japan</v>
      </c>
    </row>
    <row r="14" spans="1:1" x14ac:dyDescent="0.3">
      <c r="A14" s="2" t="str">
        <f>'Nation Wise Summary'!A14</f>
        <v>Egypt</v>
      </c>
    </row>
    <row r="15" spans="1:1" x14ac:dyDescent="0.3">
      <c r="A15" s="2" t="str">
        <f>'Nation Wise Summary'!A15</f>
        <v>Phillipines</v>
      </c>
    </row>
    <row r="16" spans="1:1" x14ac:dyDescent="0.3">
      <c r="A16" s="2" t="str">
        <f>'Nation Wise Summary'!A16</f>
        <v>DR Congo</v>
      </c>
    </row>
    <row r="17" spans="1:1" x14ac:dyDescent="0.3">
      <c r="A17" s="2" t="str">
        <f>'Nation Wise Summary'!A17</f>
        <v>Vietnam</v>
      </c>
    </row>
    <row r="18" spans="1:1" x14ac:dyDescent="0.3">
      <c r="A18" s="2" t="str">
        <f>'Nation Wise Summary'!A18</f>
        <v>Iran</v>
      </c>
    </row>
    <row r="19" spans="1:1" x14ac:dyDescent="0.3">
      <c r="A19" s="2" t="str">
        <f>'Nation Wise Summary'!A19</f>
        <v>Turkey</v>
      </c>
    </row>
    <row r="20" spans="1:1" x14ac:dyDescent="0.3">
      <c r="A20" s="2" t="str">
        <f>'Nation Wise Summary'!A20</f>
        <v>Germany</v>
      </c>
    </row>
    <row r="21" spans="1:1" x14ac:dyDescent="0.3">
      <c r="A21" s="2" t="str">
        <f>'Nation Wise Summary'!A21</f>
        <v>Tanzania</v>
      </c>
    </row>
    <row r="22" spans="1:1" x14ac:dyDescent="0.3">
      <c r="A22" s="2" t="str">
        <f>'Nation Wise Summary'!A22</f>
        <v>Thailand</v>
      </c>
    </row>
    <row r="23" spans="1:1" x14ac:dyDescent="0.3">
      <c r="A23" s="2" t="str">
        <f>'Nation Wise Summary'!A23</f>
        <v>United Kingdom</v>
      </c>
    </row>
    <row r="24" spans="1:1" x14ac:dyDescent="0.3">
      <c r="A24" s="2" t="str">
        <f>'Nation Wise Summary'!A24</f>
        <v>France</v>
      </c>
    </row>
    <row r="25" spans="1:1" x14ac:dyDescent="0.3">
      <c r="A25" s="2" t="str">
        <f>'Nation Wise Summary'!A25</f>
        <v>South Africa</v>
      </c>
    </row>
    <row r="26" spans="1:1" x14ac:dyDescent="0.3">
      <c r="A26" s="2" t="str">
        <f>'Nation Wise Summary'!A26</f>
        <v>Italy</v>
      </c>
    </row>
    <row r="27" spans="1:1" x14ac:dyDescent="0.3">
      <c r="A27" s="2" t="str">
        <f>'Nation Wise Summary'!A27</f>
        <v>Kenya</v>
      </c>
    </row>
    <row r="28" spans="1:1" x14ac:dyDescent="0.3">
      <c r="A28" s="2" t="str">
        <f>'Nation Wise Summary'!A28</f>
        <v>Myanmar</v>
      </c>
    </row>
    <row r="29" spans="1:1" x14ac:dyDescent="0.3">
      <c r="A29" s="2" t="str">
        <f>'Nation Wise Summary'!A29</f>
        <v>Colombia</v>
      </c>
    </row>
    <row r="30" spans="1:1" x14ac:dyDescent="0.3">
      <c r="A30" s="2" t="str">
        <f>'Nation Wise Summary'!A30</f>
        <v>Sudan</v>
      </c>
    </row>
    <row r="31" spans="1:1" x14ac:dyDescent="0.3">
      <c r="A31" s="2" t="str">
        <f>'Nation Wise Summary'!A31</f>
        <v>Uganda</v>
      </c>
    </row>
    <row r="32" spans="1:1" x14ac:dyDescent="0.3">
      <c r="A32" s="2" t="str">
        <f>'Nation Wise Summary'!A32</f>
        <v>South Korea</v>
      </c>
    </row>
    <row r="33" spans="1:1" x14ac:dyDescent="0.3">
      <c r="A33" s="2" t="str">
        <f>'Nation Wise Summary'!A33</f>
        <v>Algeria</v>
      </c>
    </row>
    <row r="34" spans="1:1" x14ac:dyDescent="0.3">
      <c r="A34" s="2" t="str">
        <f>'Nation Wise Summary'!A34</f>
        <v>Iraq</v>
      </c>
    </row>
    <row r="35" spans="1:1" x14ac:dyDescent="0.3">
      <c r="A35" s="2" t="str">
        <f>'Nation Wise Summary'!A35</f>
        <v>Spain</v>
      </c>
    </row>
    <row r="36" spans="1:1" x14ac:dyDescent="0.3">
      <c r="A36" s="2" t="str">
        <f>'Nation Wise Summary'!A36</f>
        <v>Argentina</v>
      </c>
    </row>
    <row r="37" spans="1:1" x14ac:dyDescent="0.3">
      <c r="A37" s="2" t="str">
        <f>'Nation Wise Summary'!A37</f>
        <v>Afghanistan</v>
      </c>
    </row>
    <row r="38" spans="1:1" x14ac:dyDescent="0.3">
      <c r="A38" s="2" t="str">
        <f>'Nation Wise Summary'!A38</f>
        <v>Yemen</v>
      </c>
    </row>
    <row r="39" spans="1:1" x14ac:dyDescent="0.3">
      <c r="A39" s="2" t="str">
        <f>'Nation Wise Summary'!A39</f>
        <v>Canada</v>
      </c>
    </row>
    <row r="40" spans="1:1" x14ac:dyDescent="0.3">
      <c r="A40" s="2" t="str">
        <f>'Nation Wise Summary'!A40</f>
        <v>Angola</v>
      </c>
    </row>
    <row r="41" spans="1:1" x14ac:dyDescent="0.3">
      <c r="A41" s="2" t="str">
        <f>'Nation Wise Summary'!A41</f>
        <v>Ukraine</v>
      </c>
    </row>
    <row r="42" spans="1:1" x14ac:dyDescent="0.3">
      <c r="A42" s="2" t="str">
        <f>'Nation Wise Summary'!A42</f>
        <v>Morocco</v>
      </c>
    </row>
    <row r="43" spans="1:1" x14ac:dyDescent="0.3">
      <c r="A43" s="2" t="str">
        <f>'Nation Wise Summary'!A43</f>
        <v>Poland</v>
      </c>
    </row>
    <row r="44" spans="1:1" x14ac:dyDescent="0.3">
      <c r="A44" s="2" t="str">
        <f>'Nation Wise Summary'!A44</f>
        <v>Uzbekistan</v>
      </c>
    </row>
    <row r="45" spans="1:1" x14ac:dyDescent="0.3">
      <c r="A45" s="2" t="str">
        <f>'Nation Wise Summary'!A45</f>
        <v>Mozambique</v>
      </c>
    </row>
    <row r="46" spans="1:1" x14ac:dyDescent="0.3">
      <c r="A46" s="2" t="str">
        <f>'Nation Wise Summary'!A46</f>
        <v>Malaysia</v>
      </c>
    </row>
    <row r="47" spans="1:1" x14ac:dyDescent="0.3">
      <c r="A47" s="2" t="str">
        <f>'Nation Wise Summary'!A47</f>
        <v>Ghana</v>
      </c>
    </row>
    <row r="48" spans="1:1" x14ac:dyDescent="0.3">
      <c r="A48" s="2" t="str">
        <f>'Nation Wise Summary'!A48</f>
        <v>Saudi Arabia</v>
      </c>
    </row>
    <row r="49" spans="1:1" x14ac:dyDescent="0.3">
      <c r="A49" s="2" t="str">
        <f>'Nation Wise Summary'!A49</f>
        <v>Peru</v>
      </c>
    </row>
    <row r="50" spans="1:1" x14ac:dyDescent="0.3">
      <c r="A50" s="2" t="str">
        <f>'Nation Wise Summary'!A50</f>
        <v>Madagascar</v>
      </c>
    </row>
    <row r="51" spans="1:1" x14ac:dyDescent="0.3">
      <c r="A51" s="2" t="str">
        <f>'Nation Wise Summary'!A51</f>
        <v>Cote d Ivoire</v>
      </c>
    </row>
    <row r="52" spans="1:1" x14ac:dyDescent="0.3">
      <c r="A52" s="2" t="str">
        <f>'Nation Wise Summary'!A52</f>
        <v>Cameroon</v>
      </c>
    </row>
    <row r="53" spans="1:1" x14ac:dyDescent="0.3">
      <c r="A53" s="2" t="str">
        <f>'Nation Wise Summary'!A53</f>
        <v>Nepal</v>
      </c>
    </row>
    <row r="54" spans="1:1" x14ac:dyDescent="0.3">
      <c r="A54" s="2" t="str">
        <f>'Nation Wise Summary'!A54</f>
        <v>Niger</v>
      </c>
    </row>
    <row r="55" spans="1:1" x14ac:dyDescent="0.3">
      <c r="A55" s="2" t="str">
        <f>'Nation Wise Summary'!A55</f>
        <v>Venezuela</v>
      </c>
    </row>
    <row r="56" spans="1:1" x14ac:dyDescent="0.3">
      <c r="A56" s="2" t="str">
        <f>'Nation Wise Summary'!A56</f>
        <v>Australia</v>
      </c>
    </row>
    <row r="57" spans="1:1" x14ac:dyDescent="0.3">
      <c r="A57" s="2" t="str">
        <f>'Nation Wise Summary'!A57</f>
        <v>North Korea</v>
      </c>
    </row>
    <row r="58" spans="1:1" x14ac:dyDescent="0.3">
      <c r="A58" s="2" t="str">
        <f>'Nation Wise Summary'!A58</f>
        <v>Syria</v>
      </c>
    </row>
    <row r="59" spans="1:1" x14ac:dyDescent="0.3">
      <c r="A59" s="2" t="str">
        <f>'Nation Wise Summary'!A59</f>
        <v>Mali</v>
      </c>
    </row>
    <row r="60" spans="1:1" x14ac:dyDescent="0.3">
      <c r="A60" s="2" t="str">
        <f>'Nation Wise Summary'!A60</f>
        <v>Burkina Faso</v>
      </c>
    </row>
    <row r="61" spans="1:1" x14ac:dyDescent="0.3">
      <c r="A61" s="2" t="str">
        <f>'Nation Wise Summary'!A61</f>
        <v>Sri Lanka</v>
      </c>
    </row>
    <row r="62" spans="1:1" x14ac:dyDescent="0.3">
      <c r="A62" s="2" t="str">
        <f>'Nation Wise Summary'!A62</f>
        <v>Malawi</v>
      </c>
    </row>
    <row r="63" spans="1:1" x14ac:dyDescent="0.3">
      <c r="A63" s="2" t="str">
        <f>'Nation Wise Summary'!A63</f>
        <v>Zambia</v>
      </c>
    </row>
    <row r="64" spans="1:1" x14ac:dyDescent="0.3">
      <c r="A64" s="2" t="str">
        <f>'Nation Wise Summary'!A64</f>
        <v>Chad</v>
      </c>
    </row>
    <row r="65" spans="1:1" x14ac:dyDescent="0.3">
      <c r="A65" s="2" t="str">
        <f>'Nation Wise Summary'!A65</f>
        <v>Kazakhstan</v>
      </c>
    </row>
    <row r="66" spans="1:1" x14ac:dyDescent="0.3">
      <c r="A66" s="2" t="str">
        <f>'Nation Wise Summary'!A66</f>
        <v>Somalia</v>
      </c>
    </row>
    <row r="67" spans="1:1" x14ac:dyDescent="0.3">
      <c r="A67" s="2" t="str">
        <f>'Nation Wise Summary'!A67</f>
        <v>Chile</v>
      </c>
    </row>
    <row r="68" spans="1:1" x14ac:dyDescent="0.3">
      <c r="A68" s="2" t="str">
        <f>'Nation Wise Summary'!A68</f>
        <v>Senegal</v>
      </c>
    </row>
    <row r="69" spans="1:1" x14ac:dyDescent="0.3">
      <c r="A69" s="2" t="str">
        <f>'Nation Wise Summary'!A69</f>
        <v>Guatemala</v>
      </c>
    </row>
    <row r="70" spans="1:1" x14ac:dyDescent="0.3">
      <c r="A70" s="2" t="str">
        <f>'Nation Wise Summary'!A70</f>
        <v>Romania</v>
      </c>
    </row>
    <row r="71" spans="1:1" x14ac:dyDescent="0.3">
      <c r="A71" s="2" t="str">
        <f>'Nation Wise Summary'!A71</f>
        <v>Netherlands</v>
      </c>
    </row>
    <row r="72" spans="1:1" x14ac:dyDescent="0.3">
      <c r="A72" s="2" t="str">
        <f>'Nation Wise Summary'!A72</f>
        <v>Ecuador</v>
      </c>
    </row>
    <row r="73" spans="1:1" x14ac:dyDescent="0.3">
      <c r="A73" s="2" t="str">
        <f>'Nation Wise Summary'!A73</f>
        <v>Cambodia</v>
      </c>
    </row>
    <row r="74" spans="1:1" x14ac:dyDescent="0.3">
      <c r="A74" s="2" t="str">
        <f>'Nation Wise Summary'!A74</f>
        <v>Zimbabwe</v>
      </c>
    </row>
    <row r="75" spans="1:1" x14ac:dyDescent="0.3">
      <c r="A75" s="2" t="str">
        <f>'Nation Wise Summary'!A75</f>
        <v>Guinea</v>
      </c>
    </row>
    <row r="76" spans="1:1" x14ac:dyDescent="0.3">
      <c r="A76" s="2" t="str">
        <f>'Nation Wise Summary'!A76</f>
        <v>Benin</v>
      </c>
    </row>
    <row r="77" spans="1:1" x14ac:dyDescent="0.3">
      <c r="A77" s="2" t="str">
        <f>'Nation Wise Summary'!A77</f>
        <v>Rwanda</v>
      </c>
    </row>
    <row r="78" spans="1:1" x14ac:dyDescent="0.3">
      <c r="A78" s="2" t="str">
        <f>'Nation Wise Summary'!A78</f>
        <v>Burundi</v>
      </c>
    </row>
    <row r="79" spans="1:1" x14ac:dyDescent="0.3">
      <c r="A79" s="2" t="str">
        <f>'Nation Wise Summary'!A79</f>
        <v>Bolivia</v>
      </c>
    </row>
    <row r="80" spans="1:1" x14ac:dyDescent="0.3">
      <c r="A80" s="2" t="str">
        <f>'Nation Wise Summary'!A80</f>
        <v>South Sudan</v>
      </c>
    </row>
    <row r="81" spans="1:1" x14ac:dyDescent="0.3">
      <c r="A81" s="2" t="str">
        <f>'Nation Wise Summary'!A81</f>
        <v>Tunisia</v>
      </c>
    </row>
    <row r="82" spans="1:1" x14ac:dyDescent="0.3">
      <c r="A82" s="2" t="str">
        <f>'Nation Wise Summary'!A82</f>
        <v>Belgium</v>
      </c>
    </row>
    <row r="83" spans="1:1" x14ac:dyDescent="0.3">
      <c r="A83" s="2" t="str">
        <f>'Nation Wise Summary'!A83</f>
        <v>Dominican Republic</v>
      </c>
    </row>
    <row r="84" spans="1:1" x14ac:dyDescent="0.3">
      <c r="A84" s="2" t="str">
        <f>'Nation Wise Summary'!A84</f>
        <v>Jordan</v>
      </c>
    </row>
    <row r="85" spans="1:1" x14ac:dyDescent="0.3">
      <c r="A85" s="2" t="str">
        <f>'Nation Wise Summary'!A85</f>
        <v>United Arab Emirates</v>
      </c>
    </row>
    <row r="86" spans="1:1" x14ac:dyDescent="0.3">
      <c r="A86" s="2" t="str">
        <f>'Nation Wise Summary'!A86</f>
        <v>Honduras</v>
      </c>
    </row>
    <row r="87" spans="1:1" x14ac:dyDescent="0.3">
      <c r="A87" s="2" t="str">
        <f>'Nation Wise Summary'!A87</f>
        <v>Tajikistan</v>
      </c>
    </row>
    <row r="88" spans="1:1" x14ac:dyDescent="0.3">
      <c r="A88" s="2" t="str">
        <f>'Nation Wise Summary'!A88</f>
        <v>Papua New Guinea</v>
      </c>
    </row>
    <row r="89" spans="1:1" x14ac:dyDescent="0.3">
      <c r="A89" s="2" t="str">
        <f>'Nation Wise Summary'!A89</f>
        <v>Cuba</v>
      </c>
    </row>
    <row r="90" spans="1:1" x14ac:dyDescent="0.3">
      <c r="A90" s="2" t="str">
        <f>'Nation Wise Summary'!A90</f>
        <v>Sweden</v>
      </c>
    </row>
    <row r="91" spans="1:1" x14ac:dyDescent="0.3">
      <c r="A91" s="2" t="str">
        <f>'Nation Wise Summary'!A91</f>
        <v>Czech Republic</v>
      </c>
    </row>
    <row r="92" spans="1:1" x14ac:dyDescent="0.3">
      <c r="A92" s="2" t="str">
        <f>'Nation Wise Summary'!A92</f>
        <v>Azerbaijan</v>
      </c>
    </row>
    <row r="93" spans="1:1" x14ac:dyDescent="0.3">
      <c r="A93" s="2" t="str">
        <f>'Nation Wise Summary'!A93</f>
        <v>Portugal</v>
      </c>
    </row>
    <row r="94" spans="1:1" x14ac:dyDescent="0.3">
      <c r="A94" s="2" t="str">
        <f>'Nation Wise Summary'!A94</f>
        <v>Togo</v>
      </c>
    </row>
    <row r="95" spans="1:1" x14ac:dyDescent="0.3">
      <c r="A95" s="2" t="str">
        <f>'Nation Wise Summary'!A95</f>
        <v>Greece</v>
      </c>
    </row>
    <row r="96" spans="1:1" x14ac:dyDescent="0.3">
      <c r="A96" s="2" t="str">
        <f>'Nation Wise Summary'!A96</f>
        <v>Israel</v>
      </c>
    </row>
    <row r="97" spans="1:1" x14ac:dyDescent="0.3">
      <c r="A97" s="2" t="str">
        <f>'Nation Wise Summary'!A97</f>
        <v>Hungary</v>
      </c>
    </row>
    <row r="98" spans="1:1" x14ac:dyDescent="0.3">
      <c r="A98" s="2" t="str">
        <f>'Nation Wise Summary'!A98</f>
        <v>Austria</v>
      </c>
    </row>
    <row r="99" spans="1:1" x14ac:dyDescent="0.3">
      <c r="A99" s="2" t="str">
        <f>'Nation Wise Summary'!A99</f>
        <v>Switzerland</v>
      </c>
    </row>
    <row r="100" spans="1:1" x14ac:dyDescent="0.3">
      <c r="A100" s="2" t="str">
        <f>'Nation Wise Summary'!A100</f>
        <v>Sierra Leone</v>
      </c>
    </row>
    <row r="101" spans="1:1" x14ac:dyDescent="0.3">
      <c r="A101" s="2" t="str">
        <f>'Nation Wise Summary'!A101</f>
        <v>Belarus</v>
      </c>
    </row>
    <row r="102" spans="1:1" x14ac:dyDescent="0.3">
      <c r="A102" s="2" t="str">
        <f>'Nation Wise Summary'!A102</f>
        <v>Laos</v>
      </c>
    </row>
    <row r="103" spans="1:1" x14ac:dyDescent="0.3">
      <c r="A103" s="2" t="str">
        <f>'Nation Wise Summary'!A103</f>
        <v>Turkmenistan</v>
      </c>
    </row>
    <row r="104" spans="1:1" x14ac:dyDescent="0.3">
      <c r="A104" s="2" t="str">
        <f>'Nation Wise Summary'!A104</f>
        <v>Libya</v>
      </c>
    </row>
    <row r="105" spans="1:1" x14ac:dyDescent="0.3">
      <c r="A105" s="2" t="str">
        <f>'Nation Wise Summary'!A105</f>
        <v>Kyrgyzstan</v>
      </c>
    </row>
    <row r="106" spans="1:1" x14ac:dyDescent="0.3">
      <c r="A106" s="2" t="str">
        <f>'Nation Wise Summary'!A106</f>
        <v>Nicaragua</v>
      </c>
    </row>
    <row r="107" spans="1:1" x14ac:dyDescent="0.3">
      <c r="A107" s="2" t="str">
        <f>'Nation Wise Summary'!A107</f>
        <v>Paraguay</v>
      </c>
    </row>
    <row r="108" spans="1:1" x14ac:dyDescent="0.3">
      <c r="A108" s="2" t="str">
        <f>'Nation Wise Summary'!A108</f>
        <v>Bulgaria</v>
      </c>
    </row>
    <row r="109" spans="1:1" x14ac:dyDescent="0.3">
      <c r="A109" s="2" t="str">
        <f>'Nation Wise Summary'!A109</f>
        <v>Serbia</v>
      </c>
    </row>
    <row r="110" spans="1:1" x14ac:dyDescent="0.3">
      <c r="A110" s="2" t="str">
        <f>'Nation Wise Summary'!A110</f>
        <v>Congo</v>
      </c>
    </row>
    <row r="111" spans="1:1" x14ac:dyDescent="0.3">
      <c r="A111" s="2" t="str">
        <f>'Nation Wise Summary'!A111</f>
        <v>El Salvador</v>
      </c>
    </row>
    <row r="112" spans="1:1" x14ac:dyDescent="0.3">
      <c r="A112" s="2" t="str">
        <f>'Nation Wise Summary'!A112</f>
        <v>Denmark</v>
      </c>
    </row>
    <row r="113" spans="1:1" x14ac:dyDescent="0.3">
      <c r="A113" s="2" t="str">
        <f>'Nation Wise Summary'!A113</f>
        <v>Singapore</v>
      </c>
    </row>
    <row r="114" spans="1:1" x14ac:dyDescent="0.3">
      <c r="A114" s="2" t="str">
        <f>'Nation Wise Summary'!A114</f>
        <v>Lebanon</v>
      </c>
    </row>
    <row r="115" spans="1:1" x14ac:dyDescent="0.3">
      <c r="A115" s="2" t="str">
        <f>'Nation Wise Summary'!A115</f>
        <v>Liberia</v>
      </c>
    </row>
    <row r="116" spans="1:1" x14ac:dyDescent="0.3">
      <c r="A116" s="2" t="str">
        <f>'Nation Wise Summary'!A116</f>
        <v>Central African Republic</v>
      </c>
    </row>
    <row r="117" spans="1:1" x14ac:dyDescent="0.3">
      <c r="A117" s="2" t="str">
        <f>'Nation Wise Summary'!A117</f>
        <v>Palestine</v>
      </c>
    </row>
    <row r="118" spans="1:1" x14ac:dyDescent="0.3">
      <c r="A118" s="2" t="str">
        <f>'Nation Wise Summary'!A118</f>
        <v>Oman</v>
      </c>
    </row>
    <row r="119" spans="1:1" x14ac:dyDescent="0.3">
      <c r="A119" s="2" t="str">
        <f>'Nation Wise Summary'!A119</f>
        <v>Norway</v>
      </c>
    </row>
    <row r="120" spans="1:1" x14ac:dyDescent="0.3">
      <c r="A120" s="2" t="str">
        <f>'Nation Wise Summary'!A120</f>
        <v>Finland</v>
      </c>
    </row>
    <row r="121" spans="1:1" x14ac:dyDescent="0.3">
      <c r="A121" s="2" t="str">
        <f>'Nation Wise Summary'!A121</f>
        <v>Mauritania</v>
      </c>
    </row>
    <row r="122" spans="1:1" x14ac:dyDescent="0.3">
      <c r="A122" s="2" t="str">
        <f>'Nation Wise Summary'!A122</f>
        <v>Slovakia</v>
      </c>
    </row>
    <row r="123" spans="1:1" x14ac:dyDescent="0.3">
      <c r="A123" s="2" t="str">
        <f>'Nation Wise Summary'!A123</f>
        <v>Ireland</v>
      </c>
    </row>
    <row r="124" spans="1:1" x14ac:dyDescent="0.3">
      <c r="A124" s="2" t="str">
        <f>'Nation Wise Summary'!A124</f>
        <v>New Zealand</v>
      </c>
    </row>
    <row r="125" spans="1:1" x14ac:dyDescent="0.3">
      <c r="A125" s="2" t="str">
        <f>'Nation Wise Summary'!A125</f>
        <v>Costa Rica</v>
      </c>
    </row>
    <row r="126" spans="1:1" x14ac:dyDescent="0.3">
      <c r="A126" s="2" t="str">
        <f>'Nation Wise Summary'!A126</f>
        <v>Kuwait</v>
      </c>
    </row>
    <row r="127" spans="1:1" x14ac:dyDescent="0.3">
      <c r="A127" s="2" t="str">
        <f>'Nation Wise Summary'!A127</f>
        <v>Panama</v>
      </c>
    </row>
    <row r="128" spans="1:1" x14ac:dyDescent="0.3">
      <c r="A128" s="2" t="str">
        <f>'Nation Wise Summary'!A128</f>
        <v>Croatia</v>
      </c>
    </row>
    <row r="129" spans="1:1" x14ac:dyDescent="0.3">
      <c r="A129" s="2" t="str">
        <f>'Nation Wise Summary'!A129</f>
        <v>Georgia</v>
      </c>
    </row>
    <row r="130" spans="1:1" x14ac:dyDescent="0.3">
      <c r="A130" s="2" t="str">
        <f>'Nation Wise Summary'!A130</f>
        <v>Eritrea</v>
      </c>
    </row>
    <row r="131" spans="1:1" x14ac:dyDescent="0.3">
      <c r="A131" s="2" t="str">
        <f>'Nation Wise Summary'!A131</f>
        <v>Mongolia</v>
      </c>
    </row>
    <row r="132" spans="1:1" x14ac:dyDescent="0.3">
      <c r="A132" s="2" t="str">
        <f>'Nation Wise Summary'!A132</f>
        <v>Uruguay</v>
      </c>
    </row>
    <row r="133" spans="1:1" x14ac:dyDescent="0.3">
      <c r="A133" s="2" t="str">
        <f>'Nation Wise Summary'!A133</f>
        <v>Qatar</v>
      </c>
    </row>
    <row r="134" spans="1:1" x14ac:dyDescent="0.3">
      <c r="A134" s="2" t="str">
        <f>'Nation Wise Summary'!A134</f>
        <v>Namibia</v>
      </c>
    </row>
    <row r="135" spans="1:1" x14ac:dyDescent="0.3">
      <c r="A135" s="2" t="str">
        <f>'Nation Wise Summary'!A135</f>
        <v>Bosnia and Herzegovina</v>
      </c>
    </row>
    <row r="136" spans="1:1" x14ac:dyDescent="0.3">
      <c r="A136" s="2" t="str">
        <f>'Nation Wise Summary'!A136</f>
        <v>Moldova</v>
      </c>
    </row>
    <row r="137" spans="1:1" x14ac:dyDescent="0.3">
      <c r="A137" s="2" t="str">
        <f>'Nation Wise Summary'!A137</f>
        <v>Armenia</v>
      </c>
    </row>
    <row r="138" spans="1:1" x14ac:dyDescent="0.3">
      <c r="A138" s="2" t="str">
        <f>'Nation Wise Summary'!A138</f>
        <v>Gambia</v>
      </c>
    </row>
    <row r="139" spans="1:1" x14ac:dyDescent="0.3">
      <c r="A139" s="2" t="str">
        <f>'Nation Wise Summary'!A139</f>
        <v>Jamaica</v>
      </c>
    </row>
    <row r="140" spans="1:1" x14ac:dyDescent="0.3">
      <c r="A140" s="2" t="str">
        <f>'Nation Wise Summary'!A140</f>
        <v>Lithuania</v>
      </c>
    </row>
    <row r="141" spans="1:1" x14ac:dyDescent="0.3">
      <c r="A141" s="2" t="str">
        <f>'Nation Wise Summary'!A141</f>
        <v>Albania</v>
      </c>
    </row>
    <row r="142" spans="1:1" x14ac:dyDescent="0.3">
      <c r="A142" s="2" t="str">
        <f>'Nation Wise Summary'!A142</f>
        <v>Gabon</v>
      </c>
    </row>
    <row r="143" spans="1:1" x14ac:dyDescent="0.3">
      <c r="A143" s="2" t="str">
        <f>'Nation Wise Summary'!A143</f>
        <v>Botswana</v>
      </c>
    </row>
    <row r="144" spans="1:1" x14ac:dyDescent="0.3">
      <c r="A144" s="2" t="str">
        <f>'Nation Wise Summary'!A144</f>
        <v>Lesotho</v>
      </c>
    </row>
    <row r="145" spans="1:1" x14ac:dyDescent="0.3">
      <c r="A145" s="2" t="str">
        <f>'Nation Wise Summary'!A145</f>
        <v>Guinea-Bissau</v>
      </c>
    </row>
    <row r="146" spans="1:1" x14ac:dyDescent="0.3">
      <c r="A146" s="2" t="str">
        <f>'Nation Wise Summary'!A146</f>
        <v>Slovenia</v>
      </c>
    </row>
    <row r="147" spans="1:1" x14ac:dyDescent="0.3">
      <c r="A147" s="2" t="str">
        <f>'Nation Wise Summary'!A147</f>
        <v>Equatorial Guinea</v>
      </c>
    </row>
    <row r="148" spans="1:1" x14ac:dyDescent="0.3">
      <c r="A148" s="2" t="str">
        <f>'Nation Wise Summary'!A148</f>
        <v>Latvia</v>
      </c>
    </row>
    <row r="149" spans="1:1" x14ac:dyDescent="0.3">
      <c r="A149" s="2" t="str">
        <f>'Nation Wise Summary'!A149</f>
        <v>North Macedonia</v>
      </c>
    </row>
    <row r="150" spans="1:1" x14ac:dyDescent="0.3">
      <c r="A150" s="2" t="str">
        <f>'Nation Wise Summary'!A150</f>
        <v>Bahrain</v>
      </c>
    </row>
    <row r="151" spans="1:1" x14ac:dyDescent="0.3">
      <c r="A151" s="2" t="str">
        <f>'Nation Wise Summary'!A151</f>
        <v>Trinidad and Tobago</v>
      </c>
    </row>
    <row r="152" spans="1:1" x14ac:dyDescent="0.3">
      <c r="A152" s="2" t="str">
        <f>'Nation Wise Summary'!A152</f>
        <v>Timor-Leste</v>
      </c>
    </row>
    <row r="153" spans="1:1" x14ac:dyDescent="0.3">
      <c r="A153" s="2" t="str">
        <f>'Nation Wise Summary'!A153</f>
        <v>Cyprus</v>
      </c>
    </row>
    <row r="154" spans="1:1" x14ac:dyDescent="0.3">
      <c r="A154" s="2" t="str">
        <f>'Nation Wise Summary'!A154</f>
        <v>Estonia</v>
      </c>
    </row>
    <row r="155" spans="1:1" x14ac:dyDescent="0.3">
      <c r="A155" s="2" t="str">
        <f>'Nation Wise Summary'!A155</f>
        <v>Eswatini</v>
      </c>
    </row>
    <row r="156" spans="1:1" x14ac:dyDescent="0.3">
      <c r="A156" s="2" t="str">
        <f>'Nation Wise Summary'!A156</f>
        <v>Mauritius</v>
      </c>
    </row>
    <row r="157" spans="1:1" x14ac:dyDescent="0.3">
      <c r="A157" s="2" t="str">
        <f>'Nation Wise Summary'!A157</f>
        <v>Djibouti</v>
      </c>
    </row>
    <row r="158" spans="1:1" x14ac:dyDescent="0.3">
      <c r="A158" s="2" t="str">
        <f>'Nation Wise Summary'!A158</f>
        <v>Fiji</v>
      </c>
    </row>
    <row r="159" spans="1:1" x14ac:dyDescent="0.3">
      <c r="A159" s="2" t="str">
        <f>'Nation Wise Summary'!A159</f>
        <v>Comoros</v>
      </c>
    </row>
    <row r="160" spans="1:1" x14ac:dyDescent="0.3">
      <c r="A160" s="2" t="str">
        <f>'Nation Wise Summary'!A160</f>
        <v>Solomon Islands</v>
      </c>
    </row>
    <row r="161" spans="1:1" x14ac:dyDescent="0.3">
      <c r="A161" s="2" t="str">
        <f>'Nation Wise Summary'!A161</f>
        <v>Guyana</v>
      </c>
    </row>
    <row r="162" spans="1:1" x14ac:dyDescent="0.3">
      <c r="A162" s="2" t="str">
        <f>'Nation Wise Summary'!A162</f>
        <v>Bhutan</v>
      </c>
    </row>
    <row r="163" spans="1:1" x14ac:dyDescent="0.3">
      <c r="A163" s="2" t="str">
        <f>'Nation Wise Summary'!A163</f>
        <v>Luxembourg</v>
      </c>
    </row>
    <row r="164" spans="1:1" x14ac:dyDescent="0.3">
      <c r="A164" s="2" t="str">
        <f>'Nation Wise Summary'!A164</f>
        <v>Suriname</v>
      </c>
    </row>
    <row r="165" spans="1:1" x14ac:dyDescent="0.3">
      <c r="A165" s="2" t="str">
        <f>'Nation Wise Summary'!A165</f>
        <v>Montenegro</v>
      </c>
    </row>
    <row r="166" spans="1:1" x14ac:dyDescent="0.3">
      <c r="A166" s="2" t="str">
        <f>'Nation Wise Summary'!A166</f>
        <v>Malta</v>
      </c>
    </row>
    <row r="167" spans="1:1" x14ac:dyDescent="0.3">
      <c r="A167" s="2" t="str">
        <f>'Nation Wise Summary'!A167</f>
        <v>Maldives</v>
      </c>
    </row>
    <row r="168" spans="1:1" x14ac:dyDescent="0.3">
      <c r="A168" s="2" t="str">
        <f>'Nation Wise Summary'!A168</f>
        <v>Cabo Verde</v>
      </c>
    </row>
    <row r="169" spans="1:1" x14ac:dyDescent="0.3">
      <c r="A169" s="2" t="str">
        <f>'Nation Wise Summary'!A169</f>
        <v>Brunei</v>
      </c>
    </row>
    <row r="170" spans="1:1" x14ac:dyDescent="0.3">
      <c r="A170" s="2" t="str">
        <f>'Nation Wise Summary'!A170</f>
        <v>Belize</v>
      </c>
    </row>
    <row r="171" spans="1:1" x14ac:dyDescent="0.3">
      <c r="A171" s="2" t="str">
        <f>'Nation Wise Summary'!A171</f>
        <v>Bahamas</v>
      </c>
    </row>
    <row r="172" spans="1:1" x14ac:dyDescent="0.3">
      <c r="A172" s="2" t="str">
        <f>'Nation Wise Summary'!A172</f>
        <v>Iceland</v>
      </c>
    </row>
    <row r="173" spans="1:1" x14ac:dyDescent="0.3">
      <c r="A173" s="2" t="str">
        <f>'Nation Wise Summary'!A173</f>
        <v>Vanuatu</v>
      </c>
    </row>
    <row r="174" spans="1:1" x14ac:dyDescent="0.3">
      <c r="A174" s="2" t="str">
        <f>'Nation Wise Summary'!A174</f>
        <v>Barbados</v>
      </c>
    </row>
    <row r="175" spans="1:1" x14ac:dyDescent="0.3">
      <c r="A175" s="2" t="str">
        <f>'Nation Wise Summary'!A175</f>
        <v>Sao Tome &amp; Principe</v>
      </c>
    </row>
    <row r="176" spans="1:1" x14ac:dyDescent="0.3">
      <c r="A176" s="2" t="str">
        <f>'Nation Wise Summary'!A176</f>
        <v>Samoa</v>
      </c>
    </row>
    <row r="177" spans="1:1" x14ac:dyDescent="0.3">
      <c r="A177" s="2" t="str">
        <f>'Nation Wise Summary'!A177</f>
        <v>Saint Lucia</v>
      </c>
    </row>
    <row r="178" spans="1:1" x14ac:dyDescent="0.3">
      <c r="A178" s="2" t="e">
        <f>'Nation Wise Summary'!#REF!</f>
        <v>#REF!</v>
      </c>
    </row>
    <row r="179" spans="1:1" x14ac:dyDescent="0.3">
      <c r="A179" s="2" t="str">
        <f>'Nation Wise Summary'!A178</f>
        <v>Kiribati</v>
      </c>
    </row>
    <row r="180" spans="1:1" x14ac:dyDescent="0.3">
      <c r="A180" s="2" t="str">
        <f>'Nation Wise Summary'!A179</f>
        <v>Seychelles</v>
      </c>
    </row>
    <row r="181" spans="1:1" x14ac:dyDescent="0.3">
      <c r="A181" s="2" t="str">
        <f>'Nation Wise Summary'!A180</f>
        <v>Grenada</v>
      </c>
    </row>
    <row r="182" spans="1:1" x14ac:dyDescent="0.3">
      <c r="A182" s="2" t="str">
        <f>'Nation Wise Summary'!A181</f>
        <v>Micronesia</v>
      </c>
    </row>
    <row r="183" spans="1:1" x14ac:dyDescent="0.3">
      <c r="A183" s="2" t="str">
        <f>'Nation Wise Summary'!A182</f>
        <v>Tonga</v>
      </c>
    </row>
    <row r="184" spans="1:1" x14ac:dyDescent="0.3">
      <c r="A184" s="2" t="str">
        <f>'Nation Wise Summary'!A183</f>
        <v>Saint Vincent and Grenadines</v>
      </c>
    </row>
    <row r="185" spans="1:1" x14ac:dyDescent="0.3">
      <c r="A185" s="2" t="str">
        <f>'Nation Wise Summary'!A184</f>
        <v>Antigua and Barbuda</v>
      </c>
    </row>
    <row r="186" spans="1:1" x14ac:dyDescent="0.3">
      <c r="A186" s="2" t="e">
        <f>'Nation Wise Summary'!#REF!</f>
        <v>#REF!</v>
      </c>
    </row>
    <row r="187" spans="1:1" x14ac:dyDescent="0.3">
      <c r="A187" s="2" t="str">
        <f>'Nation Wise Summary'!A185</f>
        <v>Andorra</v>
      </c>
    </row>
    <row r="188" spans="1:1" x14ac:dyDescent="0.3">
      <c r="A188" s="2" t="str">
        <f>'Nation Wise Summary'!A186</f>
        <v>Cayman Islands</v>
      </c>
    </row>
    <row r="189" spans="1:1" x14ac:dyDescent="0.3">
      <c r="A189" s="2" t="str">
        <f>'Nation Wise Summary'!A187</f>
        <v>Dominica</v>
      </c>
    </row>
    <row r="190" spans="1:1" x14ac:dyDescent="0.3">
      <c r="A190" s="2" t="str">
        <f>'Nation Wise Summary'!A188</f>
        <v>Bermuda</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8B90AE-3785-48BD-90AF-6F7E6D00CB34}">
  <dimension ref="A1:B368"/>
  <sheetViews>
    <sheetView workbookViewId="0">
      <selection activeCell="A2" sqref="A2"/>
    </sheetView>
  </sheetViews>
  <sheetFormatPr defaultRowHeight="14.4" x14ac:dyDescent="0.3"/>
  <cols>
    <col min="1" max="1" width="23.109375" bestFit="1" customWidth="1"/>
    <col min="2" max="2" width="11.33203125" bestFit="1" customWidth="1"/>
  </cols>
  <sheetData>
    <row r="1" spans="1:2" x14ac:dyDescent="0.3">
      <c r="A1" s="1" t="s">
        <v>0</v>
      </c>
      <c r="B1" s="1" t="s">
        <v>1</v>
      </c>
    </row>
    <row r="2" spans="1:2" x14ac:dyDescent="0.3">
      <c r="A2" s="2" t="s">
        <v>2</v>
      </c>
      <c r="B2" s="2" t="s">
        <v>3</v>
      </c>
    </row>
    <row r="3" spans="1:2" x14ac:dyDescent="0.3">
      <c r="A3" s="2" t="s">
        <v>4</v>
      </c>
      <c r="B3" s="2" t="s">
        <v>5</v>
      </c>
    </row>
    <row r="4" spans="1:2" x14ac:dyDescent="0.3">
      <c r="A4" s="2" t="s">
        <v>6</v>
      </c>
      <c r="B4" s="2" t="s">
        <v>3</v>
      </c>
    </row>
    <row r="5" spans="1:2" x14ac:dyDescent="0.3">
      <c r="A5" s="2" t="s">
        <v>7</v>
      </c>
      <c r="B5" s="2" t="s">
        <v>8</v>
      </c>
    </row>
    <row r="6" spans="1:2" x14ac:dyDescent="0.3">
      <c r="A6" s="2" t="s">
        <v>9</v>
      </c>
      <c r="B6" s="2" t="s">
        <v>10</v>
      </c>
    </row>
    <row r="7" spans="1:2" x14ac:dyDescent="0.3">
      <c r="A7" s="2" t="s">
        <v>11</v>
      </c>
      <c r="B7" s="2" t="s">
        <v>3</v>
      </c>
    </row>
    <row r="8" spans="1:2" x14ac:dyDescent="0.3">
      <c r="A8" s="2" t="s">
        <v>12</v>
      </c>
      <c r="B8" s="2" t="s">
        <v>13</v>
      </c>
    </row>
    <row r="9" spans="1:2" x14ac:dyDescent="0.3">
      <c r="A9" s="2" t="s">
        <v>14</v>
      </c>
      <c r="B9" s="2" t="s">
        <v>3</v>
      </c>
    </row>
    <row r="10" spans="1:2" x14ac:dyDescent="0.3">
      <c r="A10" s="2" t="s">
        <v>15</v>
      </c>
      <c r="B10" s="2" t="s">
        <v>16</v>
      </c>
    </row>
    <row r="11" spans="1:2" x14ac:dyDescent="0.3">
      <c r="A11" s="2" t="s">
        <v>17</v>
      </c>
      <c r="B11" s="2" t="s">
        <v>3</v>
      </c>
    </row>
    <row r="12" spans="1:2" x14ac:dyDescent="0.3">
      <c r="A12" s="2" t="s">
        <v>18</v>
      </c>
      <c r="B12" s="2" t="s">
        <v>19</v>
      </c>
    </row>
    <row r="13" spans="1:2" x14ac:dyDescent="0.3">
      <c r="A13" s="2" t="s">
        <v>20</v>
      </c>
      <c r="B13" s="2" t="s">
        <v>21</v>
      </c>
    </row>
    <row r="14" spans="1:2" x14ac:dyDescent="0.3">
      <c r="A14" s="2" t="s">
        <v>22</v>
      </c>
      <c r="B14" s="2" t="s">
        <v>3</v>
      </c>
    </row>
    <row r="15" spans="1:2" x14ac:dyDescent="0.3">
      <c r="A15" s="2" t="s">
        <v>23</v>
      </c>
      <c r="B15" s="2" t="s">
        <v>24</v>
      </c>
    </row>
    <row r="16" spans="1:2" x14ac:dyDescent="0.3">
      <c r="A16" s="2" t="s">
        <v>25</v>
      </c>
      <c r="B16" s="2" t="s">
        <v>3</v>
      </c>
    </row>
    <row r="17" spans="1:2" x14ac:dyDescent="0.3">
      <c r="A17" s="2" t="s">
        <v>26</v>
      </c>
      <c r="B17" s="2" t="s">
        <v>27</v>
      </c>
    </row>
    <row r="18" spans="1:2" x14ac:dyDescent="0.3">
      <c r="A18" s="2" t="s">
        <v>28</v>
      </c>
      <c r="B18" s="2" t="s">
        <v>29</v>
      </c>
    </row>
    <row r="19" spans="1:2" x14ac:dyDescent="0.3">
      <c r="A19" s="2" t="s">
        <v>30</v>
      </c>
      <c r="B19" s="2" t="s">
        <v>3</v>
      </c>
    </row>
    <row r="20" spans="1:2" x14ac:dyDescent="0.3">
      <c r="A20" s="2" t="s">
        <v>31</v>
      </c>
      <c r="B20" s="2" t="s">
        <v>32</v>
      </c>
    </row>
    <row r="21" spans="1:2" x14ac:dyDescent="0.3">
      <c r="A21" s="2" t="s">
        <v>33</v>
      </c>
      <c r="B21" s="2" t="s">
        <v>3</v>
      </c>
    </row>
    <row r="22" spans="1:2" x14ac:dyDescent="0.3">
      <c r="A22" s="2" t="s">
        <v>34</v>
      </c>
      <c r="B22" s="2" t="s">
        <v>35</v>
      </c>
    </row>
    <row r="23" spans="1:2" x14ac:dyDescent="0.3">
      <c r="A23" s="2" t="s">
        <v>36</v>
      </c>
      <c r="B23" s="2" t="s">
        <v>37</v>
      </c>
    </row>
    <row r="24" spans="1:2" x14ac:dyDescent="0.3">
      <c r="A24" s="2" t="s">
        <v>38</v>
      </c>
      <c r="B24" s="2" t="s">
        <v>3</v>
      </c>
    </row>
    <row r="25" spans="1:2" x14ac:dyDescent="0.3">
      <c r="A25" s="2" t="s">
        <v>39</v>
      </c>
      <c r="B25" s="2" t="s">
        <v>40</v>
      </c>
    </row>
    <row r="26" spans="1:2" x14ac:dyDescent="0.3">
      <c r="A26" s="2" t="s">
        <v>41</v>
      </c>
      <c r="B26" s="2" t="s">
        <v>3</v>
      </c>
    </row>
    <row r="27" spans="1:2" x14ac:dyDescent="0.3">
      <c r="A27" s="2" t="s">
        <v>42</v>
      </c>
      <c r="B27" s="2" t="s">
        <v>43</v>
      </c>
    </row>
    <row r="28" spans="1:2" x14ac:dyDescent="0.3">
      <c r="A28" s="2" t="s">
        <v>44</v>
      </c>
      <c r="B28" s="2" t="s">
        <v>45</v>
      </c>
    </row>
    <row r="29" spans="1:2" x14ac:dyDescent="0.3">
      <c r="A29" s="2" t="s">
        <v>46</v>
      </c>
      <c r="B29" s="2" t="s">
        <v>3</v>
      </c>
    </row>
    <row r="30" spans="1:2" x14ac:dyDescent="0.3">
      <c r="A30" s="2" t="s">
        <v>47</v>
      </c>
      <c r="B30" s="2" t="s">
        <v>48</v>
      </c>
    </row>
    <row r="31" spans="1:2" x14ac:dyDescent="0.3">
      <c r="A31" s="2" t="s">
        <v>49</v>
      </c>
      <c r="B31" s="2" t="s">
        <v>3</v>
      </c>
    </row>
    <row r="32" spans="1:2" x14ac:dyDescent="0.3">
      <c r="A32" s="2" t="s">
        <v>50</v>
      </c>
      <c r="B32" s="2" t="s">
        <v>51</v>
      </c>
    </row>
    <row r="33" spans="1:2" x14ac:dyDescent="0.3">
      <c r="A33" s="2" t="s">
        <v>52</v>
      </c>
      <c r="B33" s="2" t="s">
        <v>53</v>
      </c>
    </row>
    <row r="34" spans="1:2" x14ac:dyDescent="0.3">
      <c r="A34" s="2" t="s">
        <v>54</v>
      </c>
      <c r="B34" s="2" t="s">
        <v>3</v>
      </c>
    </row>
    <row r="35" spans="1:2" x14ac:dyDescent="0.3">
      <c r="A35" s="2" t="s">
        <v>55</v>
      </c>
      <c r="B35" s="2" t="s">
        <v>56</v>
      </c>
    </row>
    <row r="36" spans="1:2" x14ac:dyDescent="0.3">
      <c r="A36" s="2" t="s">
        <v>57</v>
      </c>
      <c r="B36" s="2" t="s">
        <v>3</v>
      </c>
    </row>
    <row r="37" spans="1:2" x14ac:dyDescent="0.3">
      <c r="A37" s="2" t="s">
        <v>58</v>
      </c>
      <c r="B37" s="2" t="s">
        <v>59</v>
      </c>
    </row>
    <row r="38" spans="1:2" x14ac:dyDescent="0.3">
      <c r="A38" s="2" t="s">
        <v>60</v>
      </c>
      <c r="B38" s="2" t="s">
        <v>61</v>
      </c>
    </row>
    <row r="39" spans="1:2" x14ac:dyDescent="0.3">
      <c r="A39" s="2" t="s">
        <v>62</v>
      </c>
      <c r="B39" s="2" t="s">
        <v>3</v>
      </c>
    </row>
    <row r="40" spans="1:2" x14ac:dyDescent="0.3">
      <c r="A40" s="2" t="s">
        <v>63</v>
      </c>
      <c r="B40" s="2" t="s">
        <v>64</v>
      </c>
    </row>
    <row r="41" spans="1:2" x14ac:dyDescent="0.3">
      <c r="A41" s="2" t="s">
        <v>65</v>
      </c>
      <c r="B41" s="2" t="s">
        <v>3</v>
      </c>
    </row>
    <row r="42" spans="1:2" x14ac:dyDescent="0.3">
      <c r="A42" s="2" t="s">
        <v>66</v>
      </c>
      <c r="B42" s="2" t="s">
        <v>67</v>
      </c>
    </row>
    <row r="43" spans="1:2" x14ac:dyDescent="0.3">
      <c r="A43" s="2" t="s">
        <v>68</v>
      </c>
      <c r="B43" s="2" t="s">
        <v>69</v>
      </c>
    </row>
    <row r="44" spans="1:2" x14ac:dyDescent="0.3">
      <c r="A44" s="2" t="s">
        <v>70</v>
      </c>
      <c r="B44" s="2" t="s">
        <v>3</v>
      </c>
    </row>
    <row r="45" spans="1:2" x14ac:dyDescent="0.3">
      <c r="A45" s="2" t="s">
        <v>71</v>
      </c>
      <c r="B45" s="2" t="s">
        <v>72</v>
      </c>
    </row>
    <row r="46" spans="1:2" x14ac:dyDescent="0.3">
      <c r="A46" s="2" t="s">
        <v>73</v>
      </c>
      <c r="B46" s="2" t="s">
        <v>3</v>
      </c>
    </row>
    <row r="47" spans="1:2" x14ac:dyDescent="0.3">
      <c r="A47" s="2" t="s">
        <v>74</v>
      </c>
      <c r="B47" s="2" t="s">
        <v>75</v>
      </c>
    </row>
    <row r="48" spans="1:2" x14ac:dyDescent="0.3">
      <c r="A48" s="2" t="s">
        <v>76</v>
      </c>
      <c r="B48" s="2" t="s">
        <v>77</v>
      </c>
    </row>
    <row r="49" spans="1:2" x14ac:dyDescent="0.3">
      <c r="A49" s="2" t="s">
        <v>78</v>
      </c>
      <c r="B49" s="2" t="s">
        <v>3</v>
      </c>
    </row>
    <row r="50" spans="1:2" x14ac:dyDescent="0.3">
      <c r="A50" s="2" t="s">
        <v>79</v>
      </c>
      <c r="B50" s="2" t="s">
        <v>80</v>
      </c>
    </row>
    <row r="51" spans="1:2" x14ac:dyDescent="0.3">
      <c r="A51" s="2" t="s">
        <v>81</v>
      </c>
      <c r="B51" s="2" t="s">
        <v>3</v>
      </c>
    </row>
    <row r="52" spans="1:2" x14ac:dyDescent="0.3">
      <c r="A52" s="2" t="s">
        <v>82</v>
      </c>
      <c r="B52" s="2" t="s">
        <v>83</v>
      </c>
    </row>
    <row r="53" spans="1:2" x14ac:dyDescent="0.3">
      <c r="A53" s="2" t="s">
        <v>84</v>
      </c>
      <c r="B53" s="2" t="s">
        <v>3</v>
      </c>
    </row>
    <row r="54" spans="1:2" x14ac:dyDescent="0.3">
      <c r="A54" s="2" t="s">
        <v>85</v>
      </c>
      <c r="B54" s="2" t="s">
        <v>86</v>
      </c>
    </row>
    <row r="55" spans="1:2" x14ac:dyDescent="0.3">
      <c r="A55" s="2" t="s">
        <v>87</v>
      </c>
      <c r="B55" s="2" t="s">
        <v>3</v>
      </c>
    </row>
    <row r="56" spans="1:2" x14ac:dyDescent="0.3">
      <c r="A56" s="2" t="s">
        <v>88</v>
      </c>
      <c r="B56" s="2" t="s">
        <v>89</v>
      </c>
    </row>
    <row r="57" spans="1:2" x14ac:dyDescent="0.3">
      <c r="A57" s="2" t="s">
        <v>90</v>
      </c>
      <c r="B57" s="2" t="s">
        <v>3</v>
      </c>
    </row>
    <row r="58" spans="1:2" x14ac:dyDescent="0.3">
      <c r="A58" s="2" t="s">
        <v>91</v>
      </c>
      <c r="B58" s="2" t="s">
        <v>92</v>
      </c>
    </row>
    <row r="59" spans="1:2" x14ac:dyDescent="0.3">
      <c r="A59" s="2" t="s">
        <v>93</v>
      </c>
      <c r="B59" s="2" t="s">
        <v>3</v>
      </c>
    </row>
    <row r="60" spans="1:2" x14ac:dyDescent="0.3">
      <c r="A60" s="2" t="s">
        <v>94</v>
      </c>
      <c r="B60" s="2" t="s">
        <v>95</v>
      </c>
    </row>
    <row r="61" spans="1:2" x14ac:dyDescent="0.3">
      <c r="A61" s="2" t="s">
        <v>96</v>
      </c>
      <c r="B61" s="2" t="s">
        <v>3</v>
      </c>
    </row>
    <row r="62" spans="1:2" x14ac:dyDescent="0.3">
      <c r="A62" s="2" t="s">
        <v>97</v>
      </c>
      <c r="B62" s="2" t="s">
        <v>98</v>
      </c>
    </row>
    <row r="63" spans="1:2" x14ac:dyDescent="0.3">
      <c r="A63" s="2" t="s">
        <v>99</v>
      </c>
      <c r="B63" s="2" t="s">
        <v>3</v>
      </c>
    </row>
    <row r="64" spans="1:2" x14ac:dyDescent="0.3">
      <c r="A64" s="2" t="s">
        <v>100</v>
      </c>
      <c r="B64" s="2" t="s">
        <v>101</v>
      </c>
    </row>
    <row r="65" spans="1:2" x14ac:dyDescent="0.3">
      <c r="A65" s="2" t="s">
        <v>102</v>
      </c>
      <c r="B65" s="2" t="s">
        <v>3</v>
      </c>
    </row>
    <row r="66" spans="1:2" x14ac:dyDescent="0.3">
      <c r="A66" s="2" t="s">
        <v>103</v>
      </c>
      <c r="B66" s="2" t="s">
        <v>104</v>
      </c>
    </row>
    <row r="67" spans="1:2" x14ac:dyDescent="0.3">
      <c r="A67" s="2" t="s">
        <v>105</v>
      </c>
      <c r="B67" s="2" t="s">
        <v>3</v>
      </c>
    </row>
    <row r="68" spans="1:2" x14ac:dyDescent="0.3">
      <c r="A68" s="2" t="s">
        <v>106</v>
      </c>
      <c r="B68" s="2" t="s">
        <v>107</v>
      </c>
    </row>
    <row r="69" spans="1:2" x14ac:dyDescent="0.3">
      <c r="A69" s="2" t="s">
        <v>108</v>
      </c>
      <c r="B69" s="2" t="s">
        <v>3</v>
      </c>
    </row>
    <row r="70" spans="1:2" x14ac:dyDescent="0.3">
      <c r="A70" s="2" t="s">
        <v>109</v>
      </c>
      <c r="B70" s="2" t="s">
        <v>3</v>
      </c>
    </row>
    <row r="71" spans="1:2" x14ac:dyDescent="0.3">
      <c r="A71" s="2" t="s">
        <v>110</v>
      </c>
      <c r="B71" s="2" t="s">
        <v>111</v>
      </c>
    </row>
    <row r="72" spans="1:2" x14ac:dyDescent="0.3">
      <c r="A72" s="2" t="s">
        <v>112</v>
      </c>
      <c r="B72" s="2" t="s">
        <v>3</v>
      </c>
    </row>
    <row r="73" spans="1:2" x14ac:dyDescent="0.3">
      <c r="A73" s="2" t="s">
        <v>113</v>
      </c>
      <c r="B73" s="2" t="s">
        <v>114</v>
      </c>
    </row>
    <row r="74" spans="1:2" x14ac:dyDescent="0.3">
      <c r="A74" s="2" t="s">
        <v>115</v>
      </c>
      <c r="B74" s="2" t="s">
        <v>3</v>
      </c>
    </row>
    <row r="75" spans="1:2" x14ac:dyDescent="0.3">
      <c r="A75" s="2" t="s">
        <v>116</v>
      </c>
      <c r="B75" s="2" t="s">
        <v>117</v>
      </c>
    </row>
    <row r="76" spans="1:2" x14ac:dyDescent="0.3">
      <c r="A76" s="2" t="s">
        <v>118</v>
      </c>
      <c r="B76" s="2" t="s">
        <v>3</v>
      </c>
    </row>
    <row r="77" spans="1:2" x14ac:dyDescent="0.3">
      <c r="A77" s="2" t="s">
        <v>119</v>
      </c>
      <c r="B77" s="2" t="s">
        <v>120</v>
      </c>
    </row>
    <row r="78" spans="1:2" x14ac:dyDescent="0.3">
      <c r="A78" s="2" t="s">
        <v>121</v>
      </c>
      <c r="B78" s="2" t="s">
        <v>3</v>
      </c>
    </row>
    <row r="79" spans="1:2" x14ac:dyDescent="0.3">
      <c r="A79" s="2" t="s">
        <v>122</v>
      </c>
      <c r="B79" s="2" t="s">
        <v>123</v>
      </c>
    </row>
    <row r="80" spans="1:2" x14ac:dyDescent="0.3">
      <c r="A80" s="2" t="s">
        <v>124</v>
      </c>
      <c r="B80" s="2" t="s">
        <v>3</v>
      </c>
    </row>
    <row r="81" spans="1:2" x14ac:dyDescent="0.3">
      <c r="A81" s="2" t="s">
        <v>125</v>
      </c>
      <c r="B81" s="2" t="s">
        <v>3</v>
      </c>
    </row>
    <row r="82" spans="1:2" x14ac:dyDescent="0.3">
      <c r="A82" s="2" t="s">
        <v>126</v>
      </c>
      <c r="B82" s="2" t="s">
        <v>5</v>
      </c>
    </row>
    <row r="83" spans="1:2" x14ac:dyDescent="0.3">
      <c r="A83" s="2" t="s">
        <v>127</v>
      </c>
      <c r="B83" s="2" t="s">
        <v>3</v>
      </c>
    </row>
    <row r="84" spans="1:2" x14ac:dyDescent="0.3">
      <c r="A84" s="2" t="s">
        <v>128</v>
      </c>
      <c r="B84" s="2" t="s">
        <v>8</v>
      </c>
    </row>
    <row r="85" spans="1:2" x14ac:dyDescent="0.3">
      <c r="A85" s="2" t="s">
        <v>129</v>
      </c>
      <c r="B85" s="2" t="s">
        <v>10</v>
      </c>
    </row>
    <row r="86" spans="1:2" x14ac:dyDescent="0.3">
      <c r="A86" s="2" t="s">
        <v>130</v>
      </c>
      <c r="B86" s="2" t="s">
        <v>3</v>
      </c>
    </row>
    <row r="87" spans="1:2" x14ac:dyDescent="0.3">
      <c r="A87" s="2" t="s">
        <v>131</v>
      </c>
      <c r="B87" s="2" t="s">
        <v>13</v>
      </c>
    </row>
    <row r="88" spans="1:2" x14ac:dyDescent="0.3">
      <c r="A88" s="2" t="s">
        <v>132</v>
      </c>
      <c r="B88" s="2" t="s">
        <v>3</v>
      </c>
    </row>
    <row r="89" spans="1:2" x14ac:dyDescent="0.3">
      <c r="A89" s="2" t="s">
        <v>133</v>
      </c>
      <c r="B89" s="2" t="s">
        <v>16</v>
      </c>
    </row>
    <row r="90" spans="1:2" x14ac:dyDescent="0.3">
      <c r="A90" s="2" t="s">
        <v>134</v>
      </c>
      <c r="B90" s="2" t="s">
        <v>3</v>
      </c>
    </row>
    <row r="91" spans="1:2" x14ac:dyDescent="0.3">
      <c r="A91" s="2" t="s">
        <v>135</v>
      </c>
      <c r="B91" s="2" t="s">
        <v>19</v>
      </c>
    </row>
    <row r="92" spans="1:2" x14ac:dyDescent="0.3">
      <c r="A92" s="2" t="s">
        <v>136</v>
      </c>
      <c r="B92" s="2" t="s">
        <v>21</v>
      </c>
    </row>
    <row r="93" spans="1:2" x14ac:dyDescent="0.3">
      <c r="A93" s="2" t="s">
        <v>137</v>
      </c>
      <c r="B93" s="2" t="s">
        <v>3</v>
      </c>
    </row>
    <row r="94" spans="1:2" x14ac:dyDescent="0.3">
      <c r="A94" s="2" t="s">
        <v>138</v>
      </c>
      <c r="B94" s="2" t="s">
        <v>24</v>
      </c>
    </row>
    <row r="95" spans="1:2" x14ac:dyDescent="0.3">
      <c r="A95" s="2" t="s">
        <v>139</v>
      </c>
      <c r="B95" s="2" t="s">
        <v>3</v>
      </c>
    </row>
    <row r="96" spans="1:2" x14ac:dyDescent="0.3">
      <c r="A96" s="2" t="s">
        <v>140</v>
      </c>
      <c r="B96" s="2" t="s">
        <v>27</v>
      </c>
    </row>
    <row r="97" spans="1:2" x14ac:dyDescent="0.3">
      <c r="A97" s="2" t="s">
        <v>141</v>
      </c>
      <c r="B97" s="2" t="s">
        <v>29</v>
      </c>
    </row>
    <row r="98" spans="1:2" x14ac:dyDescent="0.3">
      <c r="A98" s="2" t="s">
        <v>142</v>
      </c>
      <c r="B98" s="2" t="s">
        <v>3</v>
      </c>
    </row>
    <row r="99" spans="1:2" x14ac:dyDescent="0.3">
      <c r="A99" s="2" t="s">
        <v>143</v>
      </c>
      <c r="B99" s="2" t="s">
        <v>32</v>
      </c>
    </row>
    <row r="100" spans="1:2" x14ac:dyDescent="0.3">
      <c r="A100" s="2" t="s">
        <v>144</v>
      </c>
      <c r="B100" s="2" t="s">
        <v>3</v>
      </c>
    </row>
    <row r="101" spans="1:2" x14ac:dyDescent="0.3">
      <c r="A101" s="2" t="s">
        <v>145</v>
      </c>
      <c r="B101" s="2" t="s">
        <v>35</v>
      </c>
    </row>
    <row r="102" spans="1:2" x14ac:dyDescent="0.3">
      <c r="A102" s="2" t="s">
        <v>146</v>
      </c>
      <c r="B102" s="2" t="s">
        <v>37</v>
      </c>
    </row>
    <row r="103" spans="1:2" x14ac:dyDescent="0.3">
      <c r="A103" s="2" t="s">
        <v>147</v>
      </c>
      <c r="B103" s="2" t="s">
        <v>3</v>
      </c>
    </row>
    <row r="104" spans="1:2" x14ac:dyDescent="0.3">
      <c r="A104" s="2" t="s">
        <v>148</v>
      </c>
      <c r="B104" s="2" t="s">
        <v>40</v>
      </c>
    </row>
    <row r="105" spans="1:2" x14ac:dyDescent="0.3">
      <c r="A105" s="2" t="s">
        <v>149</v>
      </c>
      <c r="B105" s="2" t="s">
        <v>3</v>
      </c>
    </row>
    <row r="106" spans="1:2" x14ac:dyDescent="0.3">
      <c r="A106" s="2" t="s">
        <v>150</v>
      </c>
      <c r="B106" s="2" t="s">
        <v>43</v>
      </c>
    </row>
    <row r="107" spans="1:2" x14ac:dyDescent="0.3">
      <c r="A107" s="2" t="s">
        <v>151</v>
      </c>
      <c r="B107" s="2" t="s">
        <v>45</v>
      </c>
    </row>
    <row r="108" spans="1:2" x14ac:dyDescent="0.3">
      <c r="A108" s="2" t="s">
        <v>152</v>
      </c>
      <c r="B108" s="2" t="s">
        <v>3</v>
      </c>
    </row>
    <row r="109" spans="1:2" x14ac:dyDescent="0.3">
      <c r="A109" s="2" t="s">
        <v>153</v>
      </c>
      <c r="B109" s="2" t="s">
        <v>48</v>
      </c>
    </row>
    <row r="110" spans="1:2" x14ac:dyDescent="0.3">
      <c r="A110" s="2" t="s">
        <v>154</v>
      </c>
      <c r="B110" s="2" t="s">
        <v>3</v>
      </c>
    </row>
    <row r="111" spans="1:2" x14ac:dyDescent="0.3">
      <c r="A111" s="2" t="s">
        <v>155</v>
      </c>
      <c r="B111" s="2" t="s">
        <v>51</v>
      </c>
    </row>
    <row r="112" spans="1:2" x14ac:dyDescent="0.3">
      <c r="A112" s="2" t="s">
        <v>156</v>
      </c>
      <c r="B112" s="2" t="s">
        <v>53</v>
      </c>
    </row>
    <row r="113" spans="1:2" x14ac:dyDescent="0.3">
      <c r="A113" s="2" t="s">
        <v>157</v>
      </c>
      <c r="B113" s="2" t="s">
        <v>3</v>
      </c>
    </row>
    <row r="114" spans="1:2" x14ac:dyDescent="0.3">
      <c r="A114" s="2" t="s">
        <v>158</v>
      </c>
      <c r="B114" s="2" t="s">
        <v>56</v>
      </c>
    </row>
    <row r="115" spans="1:2" x14ac:dyDescent="0.3">
      <c r="A115" s="2" t="s">
        <v>159</v>
      </c>
      <c r="B115" s="2" t="s">
        <v>3</v>
      </c>
    </row>
    <row r="116" spans="1:2" x14ac:dyDescent="0.3">
      <c r="A116" s="2" t="s">
        <v>160</v>
      </c>
      <c r="B116" s="2" t="s">
        <v>59</v>
      </c>
    </row>
    <row r="117" spans="1:2" x14ac:dyDescent="0.3">
      <c r="A117" s="2" t="s">
        <v>161</v>
      </c>
      <c r="B117" s="2" t="s">
        <v>61</v>
      </c>
    </row>
    <row r="118" spans="1:2" x14ac:dyDescent="0.3">
      <c r="A118" s="2" t="s">
        <v>162</v>
      </c>
      <c r="B118" s="2" t="s">
        <v>3</v>
      </c>
    </row>
    <row r="119" spans="1:2" x14ac:dyDescent="0.3">
      <c r="A119" s="2" t="s">
        <v>163</v>
      </c>
      <c r="B119" s="2" t="s">
        <v>64</v>
      </c>
    </row>
    <row r="120" spans="1:2" x14ac:dyDescent="0.3">
      <c r="A120" s="2" t="s">
        <v>164</v>
      </c>
      <c r="B120" s="2" t="s">
        <v>3</v>
      </c>
    </row>
    <row r="121" spans="1:2" x14ac:dyDescent="0.3">
      <c r="A121" s="2" t="s">
        <v>165</v>
      </c>
      <c r="B121" s="2" t="s">
        <v>67</v>
      </c>
    </row>
    <row r="122" spans="1:2" x14ac:dyDescent="0.3">
      <c r="A122" s="2" t="s">
        <v>166</v>
      </c>
      <c r="B122" s="2" t="s">
        <v>69</v>
      </c>
    </row>
    <row r="123" spans="1:2" x14ac:dyDescent="0.3">
      <c r="A123" s="2" t="s">
        <v>167</v>
      </c>
      <c r="B123" s="2" t="s">
        <v>3</v>
      </c>
    </row>
    <row r="124" spans="1:2" x14ac:dyDescent="0.3">
      <c r="A124" s="2" t="s">
        <v>168</v>
      </c>
      <c r="B124" s="2" t="s">
        <v>75</v>
      </c>
    </row>
    <row r="125" spans="1:2" x14ac:dyDescent="0.3">
      <c r="A125" s="2" t="s">
        <v>169</v>
      </c>
      <c r="B125" s="2" t="s">
        <v>77</v>
      </c>
    </row>
    <row r="126" spans="1:2" x14ac:dyDescent="0.3">
      <c r="A126" s="2" t="s">
        <v>170</v>
      </c>
      <c r="B126" s="2" t="s">
        <v>3</v>
      </c>
    </row>
    <row r="127" spans="1:2" x14ac:dyDescent="0.3">
      <c r="A127" s="2" t="s">
        <v>171</v>
      </c>
      <c r="B127" s="2" t="s">
        <v>80</v>
      </c>
    </row>
    <row r="128" spans="1:2" x14ac:dyDescent="0.3">
      <c r="A128" s="2" t="s">
        <v>172</v>
      </c>
      <c r="B128" s="2" t="s">
        <v>3</v>
      </c>
    </row>
    <row r="129" spans="1:2" x14ac:dyDescent="0.3">
      <c r="A129" s="2" t="s">
        <v>173</v>
      </c>
      <c r="B129" s="2" t="s">
        <v>83</v>
      </c>
    </row>
    <row r="130" spans="1:2" x14ac:dyDescent="0.3">
      <c r="A130" s="2" t="s">
        <v>174</v>
      </c>
      <c r="B130" s="2" t="s">
        <v>3</v>
      </c>
    </row>
    <row r="131" spans="1:2" x14ac:dyDescent="0.3">
      <c r="A131" s="2" t="s">
        <v>175</v>
      </c>
      <c r="B131" s="2" t="s">
        <v>86</v>
      </c>
    </row>
    <row r="132" spans="1:2" x14ac:dyDescent="0.3">
      <c r="A132" s="2" t="s">
        <v>176</v>
      </c>
      <c r="B132" s="2" t="s">
        <v>3</v>
      </c>
    </row>
    <row r="133" spans="1:2" x14ac:dyDescent="0.3">
      <c r="A133" s="2" t="s">
        <v>177</v>
      </c>
      <c r="B133" s="2" t="s">
        <v>89</v>
      </c>
    </row>
    <row r="134" spans="1:2" x14ac:dyDescent="0.3">
      <c r="A134" s="2" t="s">
        <v>178</v>
      </c>
      <c r="B134" s="2" t="s">
        <v>3</v>
      </c>
    </row>
    <row r="135" spans="1:2" x14ac:dyDescent="0.3">
      <c r="A135" s="2" t="s">
        <v>179</v>
      </c>
      <c r="B135" s="2" t="s">
        <v>92</v>
      </c>
    </row>
    <row r="136" spans="1:2" x14ac:dyDescent="0.3">
      <c r="A136" s="2" t="s">
        <v>180</v>
      </c>
      <c r="B136" s="2" t="s">
        <v>3</v>
      </c>
    </row>
    <row r="137" spans="1:2" x14ac:dyDescent="0.3">
      <c r="A137" s="2" t="s">
        <v>181</v>
      </c>
      <c r="B137" s="2" t="s">
        <v>95</v>
      </c>
    </row>
    <row r="138" spans="1:2" x14ac:dyDescent="0.3">
      <c r="A138" s="2" t="s">
        <v>182</v>
      </c>
      <c r="B138" s="2" t="s">
        <v>3</v>
      </c>
    </row>
    <row r="139" spans="1:2" x14ac:dyDescent="0.3">
      <c r="A139" s="2" t="s">
        <v>183</v>
      </c>
      <c r="B139" s="2" t="s">
        <v>98</v>
      </c>
    </row>
    <row r="140" spans="1:2" x14ac:dyDescent="0.3">
      <c r="A140" s="2" t="s">
        <v>184</v>
      </c>
      <c r="B140" s="2" t="s">
        <v>3</v>
      </c>
    </row>
    <row r="141" spans="1:2" x14ac:dyDescent="0.3">
      <c r="A141" s="2" t="s">
        <v>185</v>
      </c>
      <c r="B141" s="2" t="s">
        <v>101</v>
      </c>
    </row>
    <row r="142" spans="1:2" x14ac:dyDescent="0.3">
      <c r="A142" s="2" t="s">
        <v>186</v>
      </c>
      <c r="B142" s="2" t="s">
        <v>3</v>
      </c>
    </row>
    <row r="143" spans="1:2" x14ac:dyDescent="0.3">
      <c r="A143" s="2" t="s">
        <v>187</v>
      </c>
      <c r="B143" s="2" t="s">
        <v>107</v>
      </c>
    </row>
    <row r="144" spans="1:2" x14ac:dyDescent="0.3">
      <c r="A144" s="2" t="s">
        <v>188</v>
      </c>
      <c r="B144" s="2" t="s">
        <v>3</v>
      </c>
    </row>
    <row r="145" spans="1:2" x14ac:dyDescent="0.3">
      <c r="A145" s="2" t="s">
        <v>189</v>
      </c>
      <c r="B145" s="2" t="s">
        <v>111</v>
      </c>
    </row>
    <row r="146" spans="1:2" x14ac:dyDescent="0.3">
      <c r="A146" s="2" t="s">
        <v>190</v>
      </c>
      <c r="B146" s="2" t="s">
        <v>3</v>
      </c>
    </row>
    <row r="147" spans="1:2" x14ac:dyDescent="0.3">
      <c r="A147" s="2" t="s">
        <v>191</v>
      </c>
      <c r="B147" s="2" t="s">
        <v>114</v>
      </c>
    </row>
    <row r="148" spans="1:2" x14ac:dyDescent="0.3">
      <c r="A148" s="2" t="s">
        <v>192</v>
      </c>
      <c r="B148" s="2" t="s">
        <v>3</v>
      </c>
    </row>
    <row r="149" spans="1:2" x14ac:dyDescent="0.3">
      <c r="A149" s="2" t="s">
        <v>193</v>
      </c>
      <c r="B149" s="2" t="s">
        <v>117</v>
      </c>
    </row>
    <row r="150" spans="1:2" x14ac:dyDescent="0.3">
      <c r="A150" s="2" t="s">
        <v>194</v>
      </c>
      <c r="B150" s="2" t="s">
        <v>3</v>
      </c>
    </row>
    <row r="151" spans="1:2" x14ac:dyDescent="0.3">
      <c r="A151" s="2" t="s">
        <v>195</v>
      </c>
      <c r="B151" s="2" t="s">
        <v>120</v>
      </c>
    </row>
    <row r="152" spans="1:2" x14ac:dyDescent="0.3">
      <c r="A152" s="2" t="s">
        <v>196</v>
      </c>
      <c r="B152" s="2" t="s">
        <v>3</v>
      </c>
    </row>
    <row r="153" spans="1:2" x14ac:dyDescent="0.3">
      <c r="A153" s="2" t="s">
        <v>197</v>
      </c>
      <c r="B153" s="2" t="s">
        <v>3</v>
      </c>
    </row>
    <row r="154" spans="1:2" x14ac:dyDescent="0.3">
      <c r="A154" s="2" t="s">
        <v>198</v>
      </c>
      <c r="B154" s="2" t="s">
        <v>5</v>
      </c>
    </row>
    <row r="155" spans="1:2" x14ac:dyDescent="0.3">
      <c r="A155" s="2" t="s">
        <v>199</v>
      </c>
      <c r="B155" s="2" t="s">
        <v>3</v>
      </c>
    </row>
    <row r="156" spans="1:2" x14ac:dyDescent="0.3">
      <c r="A156" s="2" t="s">
        <v>200</v>
      </c>
      <c r="B156" s="2" t="s">
        <v>8</v>
      </c>
    </row>
    <row r="157" spans="1:2" x14ac:dyDescent="0.3">
      <c r="A157" s="2" t="s">
        <v>201</v>
      </c>
      <c r="B157" s="2" t="s">
        <v>10</v>
      </c>
    </row>
    <row r="158" spans="1:2" x14ac:dyDescent="0.3">
      <c r="A158" s="2" t="s">
        <v>202</v>
      </c>
      <c r="B158" s="2" t="s">
        <v>3</v>
      </c>
    </row>
    <row r="159" spans="1:2" x14ac:dyDescent="0.3">
      <c r="A159" s="2" t="s">
        <v>203</v>
      </c>
      <c r="B159" s="2" t="s">
        <v>13</v>
      </c>
    </row>
    <row r="160" spans="1:2" x14ac:dyDescent="0.3">
      <c r="A160" s="2" t="s">
        <v>204</v>
      </c>
      <c r="B160" s="2" t="s">
        <v>3</v>
      </c>
    </row>
    <row r="161" spans="1:2" x14ac:dyDescent="0.3">
      <c r="A161" s="2" t="s">
        <v>205</v>
      </c>
      <c r="B161" s="2" t="s">
        <v>16</v>
      </c>
    </row>
    <row r="162" spans="1:2" x14ac:dyDescent="0.3">
      <c r="A162" s="2" t="s">
        <v>206</v>
      </c>
      <c r="B162" s="2" t="s">
        <v>3</v>
      </c>
    </row>
    <row r="163" spans="1:2" x14ac:dyDescent="0.3">
      <c r="A163" s="2" t="s">
        <v>207</v>
      </c>
      <c r="B163" s="2" t="s">
        <v>19</v>
      </c>
    </row>
    <row r="164" spans="1:2" x14ac:dyDescent="0.3">
      <c r="A164" s="2" t="s">
        <v>208</v>
      </c>
      <c r="B164" s="2" t="s">
        <v>21</v>
      </c>
    </row>
    <row r="165" spans="1:2" x14ac:dyDescent="0.3">
      <c r="A165" s="2" t="s">
        <v>209</v>
      </c>
      <c r="B165" s="2" t="s">
        <v>3</v>
      </c>
    </row>
    <row r="166" spans="1:2" x14ac:dyDescent="0.3">
      <c r="A166" s="2" t="s">
        <v>210</v>
      </c>
      <c r="B166" s="2" t="s">
        <v>24</v>
      </c>
    </row>
    <row r="167" spans="1:2" x14ac:dyDescent="0.3">
      <c r="A167" s="2" t="s">
        <v>211</v>
      </c>
      <c r="B167" s="2" t="s">
        <v>3</v>
      </c>
    </row>
    <row r="168" spans="1:2" x14ac:dyDescent="0.3">
      <c r="A168" s="2" t="s">
        <v>212</v>
      </c>
      <c r="B168" s="2" t="s">
        <v>27</v>
      </c>
    </row>
    <row r="169" spans="1:2" x14ac:dyDescent="0.3">
      <c r="A169" s="2" t="s">
        <v>213</v>
      </c>
      <c r="B169" s="2" t="s">
        <v>29</v>
      </c>
    </row>
    <row r="170" spans="1:2" x14ac:dyDescent="0.3">
      <c r="A170" s="2" t="s">
        <v>214</v>
      </c>
      <c r="B170" s="2" t="s">
        <v>3</v>
      </c>
    </row>
    <row r="171" spans="1:2" x14ac:dyDescent="0.3">
      <c r="A171" s="2" t="s">
        <v>215</v>
      </c>
      <c r="B171" s="2" t="s">
        <v>32</v>
      </c>
    </row>
    <row r="172" spans="1:2" x14ac:dyDescent="0.3">
      <c r="A172" s="2" t="s">
        <v>216</v>
      </c>
      <c r="B172" s="2" t="s">
        <v>3</v>
      </c>
    </row>
    <row r="173" spans="1:2" x14ac:dyDescent="0.3">
      <c r="A173" s="2" t="s">
        <v>217</v>
      </c>
      <c r="B173" s="2" t="s">
        <v>35</v>
      </c>
    </row>
    <row r="174" spans="1:2" x14ac:dyDescent="0.3">
      <c r="A174" s="2" t="s">
        <v>218</v>
      </c>
      <c r="B174" s="2" t="s">
        <v>37</v>
      </c>
    </row>
    <row r="175" spans="1:2" x14ac:dyDescent="0.3">
      <c r="A175" s="2" t="s">
        <v>219</v>
      </c>
      <c r="B175" s="2" t="s">
        <v>3</v>
      </c>
    </row>
    <row r="176" spans="1:2" x14ac:dyDescent="0.3">
      <c r="A176" s="2" t="s">
        <v>220</v>
      </c>
      <c r="B176" s="2" t="s">
        <v>40</v>
      </c>
    </row>
    <row r="177" spans="1:2" x14ac:dyDescent="0.3">
      <c r="A177" s="2" t="s">
        <v>221</v>
      </c>
      <c r="B177" s="2" t="s">
        <v>3</v>
      </c>
    </row>
    <row r="178" spans="1:2" x14ac:dyDescent="0.3">
      <c r="A178" s="2" t="s">
        <v>222</v>
      </c>
      <c r="B178" s="2" t="s">
        <v>43</v>
      </c>
    </row>
    <row r="179" spans="1:2" x14ac:dyDescent="0.3">
      <c r="A179" s="2" t="s">
        <v>223</v>
      </c>
      <c r="B179" s="2" t="s">
        <v>45</v>
      </c>
    </row>
    <row r="180" spans="1:2" x14ac:dyDescent="0.3">
      <c r="A180" s="2" t="s">
        <v>224</v>
      </c>
      <c r="B180" s="2" t="s">
        <v>3</v>
      </c>
    </row>
    <row r="181" spans="1:2" x14ac:dyDescent="0.3">
      <c r="A181" s="2" t="s">
        <v>225</v>
      </c>
      <c r="B181" s="2" t="s">
        <v>48</v>
      </c>
    </row>
    <row r="182" spans="1:2" x14ac:dyDescent="0.3">
      <c r="A182" s="2" t="s">
        <v>226</v>
      </c>
      <c r="B182" s="2" t="s">
        <v>3</v>
      </c>
    </row>
    <row r="183" spans="1:2" x14ac:dyDescent="0.3">
      <c r="A183" s="2" t="s">
        <v>227</v>
      </c>
      <c r="B183" s="2" t="s">
        <v>51</v>
      </c>
    </row>
    <row r="184" spans="1:2" x14ac:dyDescent="0.3">
      <c r="A184" s="2" t="s">
        <v>228</v>
      </c>
      <c r="B184" s="2" t="s">
        <v>229</v>
      </c>
    </row>
    <row r="185" spans="1:2" x14ac:dyDescent="0.3">
      <c r="A185" s="2" t="s">
        <v>230</v>
      </c>
      <c r="B185" s="2" t="s">
        <v>3</v>
      </c>
    </row>
    <row r="186" spans="1:2" x14ac:dyDescent="0.3">
      <c r="A186" s="2" t="s">
        <v>231</v>
      </c>
      <c r="B186" s="2" t="s">
        <v>56</v>
      </c>
    </row>
    <row r="187" spans="1:2" x14ac:dyDescent="0.3">
      <c r="A187" s="2" t="s">
        <v>232</v>
      </c>
      <c r="B187" s="2" t="s">
        <v>3</v>
      </c>
    </row>
    <row r="188" spans="1:2" x14ac:dyDescent="0.3">
      <c r="A188" s="2" t="s">
        <v>233</v>
      </c>
      <c r="B188" s="2" t="s">
        <v>59</v>
      </c>
    </row>
    <row r="189" spans="1:2" x14ac:dyDescent="0.3">
      <c r="A189" s="2" t="s">
        <v>234</v>
      </c>
      <c r="B189" s="2" t="s">
        <v>235</v>
      </c>
    </row>
    <row r="190" spans="1:2" x14ac:dyDescent="0.3">
      <c r="A190" s="2" t="s">
        <v>236</v>
      </c>
      <c r="B190" s="2" t="s">
        <v>3</v>
      </c>
    </row>
    <row r="191" spans="1:2" x14ac:dyDescent="0.3">
      <c r="A191" s="2" t="s">
        <v>237</v>
      </c>
      <c r="B191" s="2" t="s">
        <v>64</v>
      </c>
    </row>
    <row r="192" spans="1:2" x14ac:dyDescent="0.3">
      <c r="A192" s="2" t="s">
        <v>238</v>
      </c>
      <c r="B192" s="2" t="s">
        <v>3</v>
      </c>
    </row>
    <row r="193" spans="1:2" x14ac:dyDescent="0.3">
      <c r="A193" s="2" t="s">
        <v>239</v>
      </c>
      <c r="B193" s="2" t="s">
        <v>67</v>
      </c>
    </row>
    <row r="194" spans="1:2" x14ac:dyDescent="0.3">
      <c r="A194" s="2" t="s">
        <v>240</v>
      </c>
      <c r="B194" s="2" t="s">
        <v>69</v>
      </c>
    </row>
    <row r="195" spans="1:2" x14ac:dyDescent="0.3">
      <c r="A195" s="2" t="s">
        <v>241</v>
      </c>
      <c r="B195" s="2" t="s">
        <v>3</v>
      </c>
    </row>
    <row r="196" spans="1:2" x14ac:dyDescent="0.3">
      <c r="A196" s="2" t="s">
        <v>242</v>
      </c>
      <c r="B196" s="2" t="s">
        <v>75</v>
      </c>
    </row>
    <row r="197" spans="1:2" x14ac:dyDescent="0.3">
      <c r="A197" s="2" t="s">
        <v>243</v>
      </c>
      <c r="B197" s="2" t="s">
        <v>77</v>
      </c>
    </row>
    <row r="198" spans="1:2" x14ac:dyDescent="0.3">
      <c r="A198" s="2" t="s">
        <v>244</v>
      </c>
      <c r="B198" s="2" t="s">
        <v>3</v>
      </c>
    </row>
    <row r="199" spans="1:2" x14ac:dyDescent="0.3">
      <c r="A199" s="2" t="s">
        <v>245</v>
      </c>
      <c r="B199" s="2" t="s">
        <v>80</v>
      </c>
    </row>
    <row r="200" spans="1:2" x14ac:dyDescent="0.3">
      <c r="A200" s="2" t="s">
        <v>246</v>
      </c>
      <c r="B200" s="2" t="s">
        <v>3</v>
      </c>
    </row>
    <row r="201" spans="1:2" x14ac:dyDescent="0.3">
      <c r="A201" s="2" t="s">
        <v>247</v>
      </c>
      <c r="B201" s="2" t="s">
        <v>83</v>
      </c>
    </row>
    <row r="202" spans="1:2" x14ac:dyDescent="0.3">
      <c r="A202" s="2" t="s">
        <v>248</v>
      </c>
      <c r="B202" s="2" t="s">
        <v>3</v>
      </c>
    </row>
    <row r="203" spans="1:2" x14ac:dyDescent="0.3">
      <c r="A203" s="2" t="s">
        <v>249</v>
      </c>
      <c r="B203" s="2" t="s">
        <v>86</v>
      </c>
    </row>
    <row r="204" spans="1:2" x14ac:dyDescent="0.3">
      <c r="A204" s="2" t="s">
        <v>250</v>
      </c>
      <c r="B204" s="2" t="s">
        <v>3</v>
      </c>
    </row>
    <row r="205" spans="1:2" x14ac:dyDescent="0.3">
      <c r="A205" s="2" t="s">
        <v>251</v>
      </c>
      <c r="B205" s="2" t="s">
        <v>89</v>
      </c>
    </row>
    <row r="206" spans="1:2" x14ac:dyDescent="0.3">
      <c r="A206" s="2" t="s">
        <v>252</v>
      </c>
      <c r="B206" s="2" t="s">
        <v>3</v>
      </c>
    </row>
    <row r="207" spans="1:2" x14ac:dyDescent="0.3">
      <c r="A207" s="2" t="s">
        <v>253</v>
      </c>
      <c r="B207" s="2" t="s">
        <v>92</v>
      </c>
    </row>
    <row r="208" spans="1:2" x14ac:dyDescent="0.3">
      <c r="A208" s="2" t="s">
        <v>254</v>
      </c>
      <c r="B208" s="2" t="s">
        <v>3</v>
      </c>
    </row>
    <row r="209" spans="1:2" x14ac:dyDescent="0.3">
      <c r="A209" s="2" t="s">
        <v>255</v>
      </c>
      <c r="B209" s="2" t="s">
        <v>95</v>
      </c>
    </row>
    <row r="210" spans="1:2" x14ac:dyDescent="0.3">
      <c r="A210" s="2" t="s">
        <v>256</v>
      </c>
      <c r="B210" s="2" t="s">
        <v>3</v>
      </c>
    </row>
    <row r="211" spans="1:2" x14ac:dyDescent="0.3">
      <c r="A211" s="2" t="s">
        <v>257</v>
      </c>
      <c r="B211" s="2" t="s">
        <v>98</v>
      </c>
    </row>
    <row r="212" spans="1:2" x14ac:dyDescent="0.3">
      <c r="A212" s="2" t="s">
        <v>258</v>
      </c>
      <c r="B212" s="2" t="s">
        <v>3</v>
      </c>
    </row>
    <row r="213" spans="1:2" x14ac:dyDescent="0.3">
      <c r="A213" s="2" t="s">
        <v>259</v>
      </c>
      <c r="B213" s="2" t="s">
        <v>101</v>
      </c>
    </row>
    <row r="214" spans="1:2" x14ac:dyDescent="0.3">
      <c r="A214" s="2" t="s">
        <v>260</v>
      </c>
      <c r="B214" s="2" t="s">
        <v>3</v>
      </c>
    </row>
    <row r="215" spans="1:2" x14ac:dyDescent="0.3">
      <c r="A215" s="2" t="s">
        <v>261</v>
      </c>
      <c r="B215" s="2" t="s">
        <v>107</v>
      </c>
    </row>
    <row r="216" spans="1:2" x14ac:dyDescent="0.3">
      <c r="A216" s="2" t="s">
        <v>262</v>
      </c>
      <c r="B216" s="2" t="s">
        <v>3</v>
      </c>
    </row>
    <row r="217" spans="1:2" x14ac:dyDescent="0.3">
      <c r="A217" s="2" t="s">
        <v>263</v>
      </c>
      <c r="B217" s="2" t="s">
        <v>111</v>
      </c>
    </row>
    <row r="218" spans="1:2" x14ac:dyDescent="0.3">
      <c r="A218" s="2" t="s">
        <v>264</v>
      </c>
      <c r="B218" s="2" t="s">
        <v>3</v>
      </c>
    </row>
    <row r="219" spans="1:2" x14ac:dyDescent="0.3">
      <c r="A219" s="2" t="s">
        <v>265</v>
      </c>
      <c r="B219" s="2" t="s">
        <v>266</v>
      </c>
    </row>
    <row r="220" spans="1:2" x14ac:dyDescent="0.3">
      <c r="A220" s="2" t="s">
        <v>267</v>
      </c>
      <c r="B220" s="2" t="s">
        <v>3</v>
      </c>
    </row>
    <row r="221" spans="1:2" x14ac:dyDescent="0.3">
      <c r="A221" s="2" t="s">
        <v>268</v>
      </c>
      <c r="B221" s="2" t="s">
        <v>269</v>
      </c>
    </row>
    <row r="222" spans="1:2" x14ac:dyDescent="0.3">
      <c r="A222" s="2" t="s">
        <v>270</v>
      </c>
      <c r="B222" s="2" t="s">
        <v>3</v>
      </c>
    </row>
    <row r="223" spans="1:2" x14ac:dyDescent="0.3">
      <c r="A223" s="2" t="s">
        <v>271</v>
      </c>
      <c r="B223" s="2" t="s">
        <v>117</v>
      </c>
    </row>
    <row r="224" spans="1:2" x14ac:dyDescent="0.3">
      <c r="A224" s="2" t="s">
        <v>272</v>
      </c>
      <c r="B224" s="2" t="s">
        <v>3</v>
      </c>
    </row>
    <row r="225" spans="1:2" x14ac:dyDescent="0.3">
      <c r="A225" s="2" t="s">
        <v>273</v>
      </c>
      <c r="B225" s="2" t="s">
        <v>120</v>
      </c>
    </row>
    <row r="226" spans="1:2" x14ac:dyDescent="0.3">
      <c r="A226" s="2" t="s">
        <v>274</v>
      </c>
      <c r="B226" s="2" t="s">
        <v>3</v>
      </c>
    </row>
    <row r="227" spans="1:2" x14ac:dyDescent="0.3">
      <c r="A227" s="2" t="s">
        <v>275</v>
      </c>
      <c r="B227" s="2" t="s">
        <v>3</v>
      </c>
    </row>
    <row r="228" spans="1:2" x14ac:dyDescent="0.3">
      <c r="A228" s="2" t="s">
        <v>276</v>
      </c>
      <c r="B228" s="2" t="s">
        <v>5</v>
      </c>
    </row>
    <row r="229" spans="1:2" x14ac:dyDescent="0.3">
      <c r="A229" s="2" t="s">
        <v>277</v>
      </c>
      <c r="B229" s="2" t="s">
        <v>3</v>
      </c>
    </row>
    <row r="230" spans="1:2" x14ac:dyDescent="0.3">
      <c r="A230" s="2" t="s">
        <v>278</v>
      </c>
      <c r="B230" s="2" t="s">
        <v>8</v>
      </c>
    </row>
    <row r="231" spans="1:2" x14ac:dyDescent="0.3">
      <c r="A231" s="2" t="s">
        <v>279</v>
      </c>
      <c r="B231" s="2" t="s">
        <v>10</v>
      </c>
    </row>
    <row r="232" spans="1:2" x14ac:dyDescent="0.3">
      <c r="A232" s="2" t="s">
        <v>280</v>
      </c>
      <c r="B232" s="2" t="s">
        <v>3</v>
      </c>
    </row>
    <row r="233" spans="1:2" x14ac:dyDescent="0.3">
      <c r="A233" s="2" t="s">
        <v>281</v>
      </c>
      <c r="B233" s="2" t="s">
        <v>13</v>
      </c>
    </row>
    <row r="234" spans="1:2" x14ac:dyDescent="0.3">
      <c r="A234" s="2" t="s">
        <v>282</v>
      </c>
      <c r="B234" s="2" t="s">
        <v>3</v>
      </c>
    </row>
    <row r="235" spans="1:2" x14ac:dyDescent="0.3">
      <c r="A235" s="2" t="s">
        <v>283</v>
      </c>
      <c r="B235" s="2" t="s">
        <v>16</v>
      </c>
    </row>
    <row r="236" spans="1:2" x14ac:dyDescent="0.3">
      <c r="A236" s="2" t="s">
        <v>284</v>
      </c>
      <c r="B236" s="2" t="s">
        <v>3</v>
      </c>
    </row>
    <row r="237" spans="1:2" x14ac:dyDescent="0.3">
      <c r="A237" s="2" t="s">
        <v>285</v>
      </c>
      <c r="B237" s="2" t="s">
        <v>19</v>
      </c>
    </row>
    <row r="238" spans="1:2" x14ac:dyDescent="0.3">
      <c r="A238" s="2" t="s">
        <v>286</v>
      </c>
      <c r="B238" s="2" t="s">
        <v>21</v>
      </c>
    </row>
    <row r="239" spans="1:2" x14ac:dyDescent="0.3">
      <c r="A239" s="2" t="s">
        <v>287</v>
      </c>
      <c r="B239" s="2" t="s">
        <v>3</v>
      </c>
    </row>
    <row r="240" spans="1:2" x14ac:dyDescent="0.3">
      <c r="A240" s="2" t="s">
        <v>288</v>
      </c>
      <c r="B240" s="2" t="s">
        <v>24</v>
      </c>
    </row>
    <row r="241" spans="1:2" x14ac:dyDescent="0.3">
      <c r="A241" s="2" t="s">
        <v>289</v>
      </c>
      <c r="B241" s="2" t="s">
        <v>3</v>
      </c>
    </row>
    <row r="242" spans="1:2" x14ac:dyDescent="0.3">
      <c r="A242" s="2" t="s">
        <v>290</v>
      </c>
      <c r="B242" s="2" t="s">
        <v>27</v>
      </c>
    </row>
    <row r="243" spans="1:2" x14ac:dyDescent="0.3">
      <c r="A243" s="2" t="s">
        <v>291</v>
      </c>
      <c r="B243" s="2" t="s">
        <v>29</v>
      </c>
    </row>
    <row r="244" spans="1:2" x14ac:dyDescent="0.3">
      <c r="A244" s="2" t="s">
        <v>292</v>
      </c>
      <c r="B244" s="2" t="s">
        <v>3</v>
      </c>
    </row>
    <row r="245" spans="1:2" x14ac:dyDescent="0.3">
      <c r="A245" s="2" t="s">
        <v>293</v>
      </c>
      <c r="B245" s="2" t="s">
        <v>32</v>
      </c>
    </row>
    <row r="246" spans="1:2" x14ac:dyDescent="0.3">
      <c r="A246" s="2" t="s">
        <v>294</v>
      </c>
      <c r="B246" s="2" t="s">
        <v>3</v>
      </c>
    </row>
    <row r="247" spans="1:2" x14ac:dyDescent="0.3">
      <c r="A247" s="2" t="s">
        <v>295</v>
      </c>
      <c r="B247" s="2" t="s">
        <v>35</v>
      </c>
    </row>
    <row r="248" spans="1:2" x14ac:dyDescent="0.3">
      <c r="A248" s="2" t="s">
        <v>296</v>
      </c>
      <c r="B248" s="2" t="s">
        <v>37</v>
      </c>
    </row>
    <row r="249" spans="1:2" x14ac:dyDescent="0.3">
      <c r="A249" s="2" t="s">
        <v>297</v>
      </c>
      <c r="B249" s="2" t="s">
        <v>3</v>
      </c>
    </row>
    <row r="250" spans="1:2" x14ac:dyDescent="0.3">
      <c r="A250" s="2" t="s">
        <v>298</v>
      </c>
      <c r="B250" s="2" t="s">
        <v>40</v>
      </c>
    </row>
    <row r="251" spans="1:2" x14ac:dyDescent="0.3">
      <c r="A251" s="2" t="s">
        <v>299</v>
      </c>
      <c r="B251" s="2" t="s">
        <v>3</v>
      </c>
    </row>
    <row r="252" spans="1:2" x14ac:dyDescent="0.3">
      <c r="A252" s="2" t="s">
        <v>300</v>
      </c>
      <c r="B252" s="2" t="s">
        <v>43</v>
      </c>
    </row>
    <row r="253" spans="1:2" x14ac:dyDescent="0.3">
      <c r="A253" s="2" t="s">
        <v>301</v>
      </c>
      <c r="B253" s="2" t="s">
        <v>45</v>
      </c>
    </row>
    <row r="254" spans="1:2" x14ac:dyDescent="0.3">
      <c r="A254" s="2" t="s">
        <v>302</v>
      </c>
      <c r="B254" s="2" t="s">
        <v>3</v>
      </c>
    </row>
    <row r="255" spans="1:2" x14ac:dyDescent="0.3">
      <c r="A255" s="2" t="s">
        <v>303</v>
      </c>
      <c r="B255" s="2" t="s">
        <v>48</v>
      </c>
    </row>
    <row r="256" spans="1:2" x14ac:dyDescent="0.3">
      <c r="A256" s="2" t="s">
        <v>304</v>
      </c>
      <c r="B256" s="2" t="s">
        <v>3</v>
      </c>
    </row>
    <row r="257" spans="1:2" x14ac:dyDescent="0.3">
      <c r="A257" s="2" t="s">
        <v>305</v>
      </c>
      <c r="B257" s="2" t="s">
        <v>51</v>
      </c>
    </row>
    <row r="258" spans="1:2" x14ac:dyDescent="0.3">
      <c r="A258" s="2" t="s">
        <v>306</v>
      </c>
      <c r="B258" s="2" t="s">
        <v>307</v>
      </c>
    </row>
    <row r="259" spans="1:2" x14ac:dyDescent="0.3">
      <c r="A259" s="2" t="s">
        <v>308</v>
      </c>
      <c r="B259" s="2" t="s">
        <v>3</v>
      </c>
    </row>
    <row r="260" spans="1:2" x14ac:dyDescent="0.3">
      <c r="A260" s="2" t="s">
        <v>309</v>
      </c>
      <c r="B260" s="2" t="s">
        <v>56</v>
      </c>
    </row>
    <row r="261" spans="1:2" x14ac:dyDescent="0.3">
      <c r="A261" s="2" t="s">
        <v>310</v>
      </c>
      <c r="B261" s="2" t="s">
        <v>3</v>
      </c>
    </row>
    <row r="262" spans="1:2" x14ac:dyDescent="0.3">
      <c r="A262" s="2" t="s">
        <v>311</v>
      </c>
      <c r="B262" s="2" t="s">
        <v>59</v>
      </c>
    </row>
    <row r="263" spans="1:2" x14ac:dyDescent="0.3">
      <c r="A263" s="2" t="s">
        <v>312</v>
      </c>
      <c r="B263" s="2" t="s">
        <v>313</v>
      </c>
    </row>
    <row r="264" spans="1:2" x14ac:dyDescent="0.3">
      <c r="A264" s="2" t="s">
        <v>314</v>
      </c>
      <c r="B264" s="2" t="s">
        <v>3</v>
      </c>
    </row>
    <row r="265" spans="1:2" x14ac:dyDescent="0.3">
      <c r="A265" s="2" t="s">
        <v>315</v>
      </c>
      <c r="B265" s="2" t="s">
        <v>64</v>
      </c>
    </row>
    <row r="266" spans="1:2" x14ac:dyDescent="0.3">
      <c r="A266" s="2" t="s">
        <v>316</v>
      </c>
      <c r="B266" s="2" t="s">
        <v>3</v>
      </c>
    </row>
    <row r="267" spans="1:2" x14ac:dyDescent="0.3">
      <c r="A267" s="2" t="s">
        <v>317</v>
      </c>
      <c r="B267" s="2" t="s">
        <v>67</v>
      </c>
    </row>
    <row r="268" spans="1:2" x14ac:dyDescent="0.3">
      <c r="A268" s="2" t="s">
        <v>318</v>
      </c>
      <c r="B268" s="2" t="s">
        <v>69</v>
      </c>
    </row>
    <row r="269" spans="1:2" x14ac:dyDescent="0.3">
      <c r="A269" s="2" t="s">
        <v>319</v>
      </c>
      <c r="B269" s="2" t="s">
        <v>3</v>
      </c>
    </row>
    <row r="270" spans="1:2" x14ac:dyDescent="0.3">
      <c r="A270" s="2" t="s">
        <v>320</v>
      </c>
      <c r="B270" s="2" t="s">
        <v>75</v>
      </c>
    </row>
    <row r="271" spans="1:2" x14ac:dyDescent="0.3">
      <c r="A271" s="2" t="s">
        <v>321</v>
      </c>
      <c r="B271" s="2" t="s">
        <v>3</v>
      </c>
    </row>
    <row r="272" spans="1:2" x14ac:dyDescent="0.3">
      <c r="A272" s="2" t="s">
        <v>322</v>
      </c>
      <c r="B272" s="2" t="s">
        <v>80</v>
      </c>
    </row>
    <row r="273" spans="1:2" x14ac:dyDescent="0.3">
      <c r="A273" s="2" t="s">
        <v>323</v>
      </c>
      <c r="B273" s="2" t="s">
        <v>3</v>
      </c>
    </row>
    <row r="274" spans="1:2" x14ac:dyDescent="0.3">
      <c r="A274" s="2" t="s">
        <v>324</v>
      </c>
      <c r="B274" s="2" t="s">
        <v>83</v>
      </c>
    </row>
    <row r="275" spans="1:2" x14ac:dyDescent="0.3">
      <c r="A275" s="2" t="s">
        <v>325</v>
      </c>
      <c r="B275" s="2" t="s">
        <v>3</v>
      </c>
    </row>
    <row r="276" spans="1:2" x14ac:dyDescent="0.3">
      <c r="A276" s="2" t="s">
        <v>326</v>
      </c>
      <c r="B276" s="2" t="s">
        <v>86</v>
      </c>
    </row>
    <row r="277" spans="1:2" x14ac:dyDescent="0.3">
      <c r="A277" s="2" t="s">
        <v>327</v>
      </c>
      <c r="B277" s="2" t="s">
        <v>3</v>
      </c>
    </row>
    <row r="278" spans="1:2" x14ac:dyDescent="0.3">
      <c r="A278" s="2" t="s">
        <v>328</v>
      </c>
      <c r="B278" s="2" t="s">
        <v>89</v>
      </c>
    </row>
    <row r="279" spans="1:2" x14ac:dyDescent="0.3">
      <c r="A279" s="2" t="s">
        <v>329</v>
      </c>
      <c r="B279" s="2" t="s">
        <v>3</v>
      </c>
    </row>
    <row r="280" spans="1:2" x14ac:dyDescent="0.3">
      <c r="A280" s="2" t="s">
        <v>330</v>
      </c>
      <c r="B280" s="2" t="s">
        <v>92</v>
      </c>
    </row>
    <row r="281" spans="1:2" x14ac:dyDescent="0.3">
      <c r="A281" s="2" t="s">
        <v>331</v>
      </c>
      <c r="B281" s="2" t="s">
        <v>3</v>
      </c>
    </row>
    <row r="282" spans="1:2" x14ac:dyDescent="0.3">
      <c r="A282" s="2" t="s">
        <v>332</v>
      </c>
      <c r="B282" s="2" t="s">
        <v>95</v>
      </c>
    </row>
    <row r="283" spans="1:2" x14ac:dyDescent="0.3">
      <c r="A283" s="2" t="s">
        <v>333</v>
      </c>
      <c r="B283" s="2" t="s">
        <v>3</v>
      </c>
    </row>
    <row r="284" spans="1:2" x14ac:dyDescent="0.3">
      <c r="A284" s="2" t="s">
        <v>334</v>
      </c>
      <c r="B284" s="2" t="s">
        <v>98</v>
      </c>
    </row>
    <row r="285" spans="1:2" x14ac:dyDescent="0.3">
      <c r="A285" s="2" t="s">
        <v>335</v>
      </c>
      <c r="B285" s="2" t="s">
        <v>3</v>
      </c>
    </row>
    <row r="286" spans="1:2" x14ac:dyDescent="0.3">
      <c r="A286" s="2" t="s">
        <v>336</v>
      </c>
      <c r="B286" s="2" t="s">
        <v>101</v>
      </c>
    </row>
    <row r="287" spans="1:2" x14ac:dyDescent="0.3">
      <c r="A287" s="2" t="s">
        <v>337</v>
      </c>
      <c r="B287" s="2" t="s">
        <v>3</v>
      </c>
    </row>
    <row r="288" spans="1:2" x14ac:dyDescent="0.3">
      <c r="A288" s="2" t="s">
        <v>338</v>
      </c>
      <c r="B288" s="2" t="s">
        <v>107</v>
      </c>
    </row>
    <row r="289" spans="1:2" x14ac:dyDescent="0.3">
      <c r="A289" s="2" t="s">
        <v>339</v>
      </c>
      <c r="B289" s="2" t="s">
        <v>3</v>
      </c>
    </row>
    <row r="290" spans="1:2" x14ac:dyDescent="0.3">
      <c r="A290" s="2" t="s">
        <v>340</v>
      </c>
      <c r="B290" s="2" t="s">
        <v>111</v>
      </c>
    </row>
    <row r="291" spans="1:2" x14ac:dyDescent="0.3">
      <c r="A291" s="2" t="s">
        <v>341</v>
      </c>
      <c r="B291" s="2" t="s">
        <v>3</v>
      </c>
    </row>
    <row r="292" spans="1:2" x14ac:dyDescent="0.3">
      <c r="A292" s="2" t="s">
        <v>342</v>
      </c>
      <c r="B292" s="2" t="s">
        <v>266</v>
      </c>
    </row>
    <row r="293" spans="1:2" x14ac:dyDescent="0.3">
      <c r="A293" s="2" t="s">
        <v>343</v>
      </c>
      <c r="B293" s="2" t="s">
        <v>3</v>
      </c>
    </row>
    <row r="294" spans="1:2" x14ac:dyDescent="0.3">
      <c r="A294" s="2" t="s">
        <v>344</v>
      </c>
      <c r="B294" s="2" t="s">
        <v>269</v>
      </c>
    </row>
    <row r="295" spans="1:2" x14ac:dyDescent="0.3">
      <c r="A295" s="2" t="s">
        <v>345</v>
      </c>
      <c r="B295" s="2" t="s">
        <v>3</v>
      </c>
    </row>
    <row r="296" spans="1:2" x14ac:dyDescent="0.3">
      <c r="A296" s="2" t="s">
        <v>346</v>
      </c>
      <c r="B296" s="2" t="s">
        <v>117</v>
      </c>
    </row>
    <row r="297" spans="1:2" x14ac:dyDescent="0.3">
      <c r="A297" s="2" t="s">
        <v>347</v>
      </c>
      <c r="B297" s="2" t="s">
        <v>3</v>
      </c>
    </row>
    <row r="298" spans="1:2" x14ac:dyDescent="0.3">
      <c r="A298" s="2" t="s">
        <v>348</v>
      </c>
      <c r="B298" s="2" t="s">
        <v>120</v>
      </c>
    </row>
    <row r="299" spans="1:2" x14ac:dyDescent="0.3">
      <c r="A299" s="2" t="s">
        <v>349</v>
      </c>
      <c r="B299" s="2" t="s">
        <v>3</v>
      </c>
    </row>
    <row r="300" spans="1:2" x14ac:dyDescent="0.3">
      <c r="A300" s="2" t="s">
        <v>350</v>
      </c>
      <c r="B300" s="2" t="s">
        <v>3</v>
      </c>
    </row>
    <row r="301" spans="1:2" x14ac:dyDescent="0.3">
      <c r="A301" s="2" t="s">
        <v>351</v>
      </c>
      <c r="B301" s="2" t="s">
        <v>5</v>
      </c>
    </row>
    <row r="302" spans="1:2" x14ac:dyDescent="0.3">
      <c r="A302" s="2" t="s">
        <v>352</v>
      </c>
      <c r="B302" s="2" t="s">
        <v>3</v>
      </c>
    </row>
    <row r="303" spans="1:2" x14ac:dyDescent="0.3">
      <c r="A303" s="2" t="s">
        <v>353</v>
      </c>
      <c r="B303" s="2" t="s">
        <v>8</v>
      </c>
    </row>
    <row r="304" spans="1:2" x14ac:dyDescent="0.3">
      <c r="A304" s="2" t="s">
        <v>354</v>
      </c>
      <c r="B304" s="2" t="s">
        <v>10</v>
      </c>
    </row>
    <row r="305" spans="1:2" x14ac:dyDescent="0.3">
      <c r="A305" s="2" t="s">
        <v>355</v>
      </c>
      <c r="B305" s="2" t="s">
        <v>3</v>
      </c>
    </row>
    <row r="306" spans="1:2" x14ac:dyDescent="0.3">
      <c r="A306" s="2" t="s">
        <v>356</v>
      </c>
      <c r="B306" s="2" t="s">
        <v>13</v>
      </c>
    </row>
    <row r="307" spans="1:2" x14ac:dyDescent="0.3">
      <c r="A307" s="2" t="s">
        <v>357</v>
      </c>
      <c r="B307" s="2" t="s">
        <v>3</v>
      </c>
    </row>
    <row r="308" spans="1:2" x14ac:dyDescent="0.3">
      <c r="A308" s="2" t="s">
        <v>358</v>
      </c>
      <c r="B308" s="2" t="s">
        <v>16</v>
      </c>
    </row>
    <row r="309" spans="1:2" x14ac:dyDescent="0.3">
      <c r="A309" s="2" t="s">
        <v>359</v>
      </c>
      <c r="B309" s="2" t="s">
        <v>3</v>
      </c>
    </row>
    <row r="310" spans="1:2" x14ac:dyDescent="0.3">
      <c r="A310" s="2" t="s">
        <v>360</v>
      </c>
      <c r="B310" s="2" t="s">
        <v>19</v>
      </c>
    </row>
    <row r="311" spans="1:2" x14ac:dyDescent="0.3">
      <c r="A311" s="2" t="s">
        <v>361</v>
      </c>
      <c r="B311" s="2" t="s">
        <v>21</v>
      </c>
    </row>
    <row r="312" spans="1:2" x14ac:dyDescent="0.3">
      <c r="A312" s="2" t="s">
        <v>362</v>
      </c>
      <c r="B312" s="2" t="s">
        <v>3</v>
      </c>
    </row>
    <row r="313" spans="1:2" x14ac:dyDescent="0.3">
      <c r="A313" s="2" t="s">
        <v>363</v>
      </c>
      <c r="B313" s="2" t="s">
        <v>24</v>
      </c>
    </row>
    <row r="314" spans="1:2" x14ac:dyDescent="0.3">
      <c r="A314" s="2" t="s">
        <v>364</v>
      </c>
      <c r="B314" s="2" t="s">
        <v>3</v>
      </c>
    </row>
    <row r="315" spans="1:2" x14ac:dyDescent="0.3">
      <c r="A315" s="2" t="s">
        <v>365</v>
      </c>
      <c r="B315" s="2" t="s">
        <v>27</v>
      </c>
    </row>
    <row r="316" spans="1:2" x14ac:dyDescent="0.3">
      <c r="A316" s="2" t="s">
        <v>366</v>
      </c>
      <c r="B316" s="2" t="s">
        <v>29</v>
      </c>
    </row>
    <row r="317" spans="1:2" x14ac:dyDescent="0.3">
      <c r="A317" s="2" t="s">
        <v>367</v>
      </c>
      <c r="B317" s="2" t="s">
        <v>3</v>
      </c>
    </row>
    <row r="318" spans="1:2" x14ac:dyDescent="0.3">
      <c r="A318" s="2" t="s">
        <v>368</v>
      </c>
      <c r="B318" s="2" t="s">
        <v>32</v>
      </c>
    </row>
    <row r="319" spans="1:2" x14ac:dyDescent="0.3">
      <c r="A319" s="2" t="s">
        <v>369</v>
      </c>
      <c r="B319" s="2" t="s">
        <v>3</v>
      </c>
    </row>
    <row r="320" spans="1:2" x14ac:dyDescent="0.3">
      <c r="A320" s="2" t="s">
        <v>370</v>
      </c>
      <c r="B320" s="2" t="s">
        <v>35</v>
      </c>
    </row>
    <row r="321" spans="1:2" x14ac:dyDescent="0.3">
      <c r="A321" s="2" t="s">
        <v>371</v>
      </c>
      <c r="B321" s="2" t="s">
        <v>37</v>
      </c>
    </row>
    <row r="322" spans="1:2" x14ac:dyDescent="0.3">
      <c r="A322" s="2" t="s">
        <v>372</v>
      </c>
      <c r="B322" s="2" t="s">
        <v>3</v>
      </c>
    </row>
    <row r="323" spans="1:2" x14ac:dyDescent="0.3">
      <c r="A323" s="2" t="s">
        <v>373</v>
      </c>
      <c r="B323" s="2" t="s">
        <v>40</v>
      </c>
    </row>
    <row r="324" spans="1:2" x14ac:dyDescent="0.3">
      <c r="A324" s="2" t="s">
        <v>374</v>
      </c>
      <c r="B324" s="2" t="s">
        <v>3</v>
      </c>
    </row>
    <row r="325" spans="1:2" x14ac:dyDescent="0.3">
      <c r="A325" s="2" t="s">
        <v>375</v>
      </c>
      <c r="B325" s="2" t="s">
        <v>43</v>
      </c>
    </row>
    <row r="326" spans="1:2" x14ac:dyDescent="0.3">
      <c r="A326" s="2" t="s">
        <v>376</v>
      </c>
      <c r="B326" s="2" t="s">
        <v>45</v>
      </c>
    </row>
    <row r="327" spans="1:2" x14ac:dyDescent="0.3">
      <c r="A327" s="2" t="s">
        <v>377</v>
      </c>
      <c r="B327" s="2" t="s">
        <v>3</v>
      </c>
    </row>
    <row r="328" spans="1:2" x14ac:dyDescent="0.3">
      <c r="A328" s="2" t="s">
        <v>378</v>
      </c>
      <c r="B328" s="2" t="s">
        <v>48</v>
      </c>
    </row>
    <row r="329" spans="1:2" x14ac:dyDescent="0.3">
      <c r="A329" s="2" t="s">
        <v>379</v>
      </c>
      <c r="B329" s="2" t="s">
        <v>3</v>
      </c>
    </row>
    <row r="330" spans="1:2" x14ac:dyDescent="0.3">
      <c r="A330" s="2" t="s">
        <v>380</v>
      </c>
      <c r="B330" s="2" t="s">
        <v>51</v>
      </c>
    </row>
    <row r="331" spans="1:2" x14ac:dyDescent="0.3">
      <c r="A331" s="2" t="s">
        <v>381</v>
      </c>
      <c r="B331" s="2" t="s">
        <v>382</v>
      </c>
    </row>
    <row r="332" spans="1:2" x14ac:dyDescent="0.3">
      <c r="A332" s="2" t="s">
        <v>383</v>
      </c>
      <c r="B332" s="2" t="s">
        <v>3</v>
      </c>
    </row>
    <row r="333" spans="1:2" x14ac:dyDescent="0.3">
      <c r="A333" s="2" t="s">
        <v>384</v>
      </c>
      <c r="B333" s="2" t="s">
        <v>56</v>
      </c>
    </row>
    <row r="334" spans="1:2" x14ac:dyDescent="0.3">
      <c r="A334" s="2" t="s">
        <v>385</v>
      </c>
      <c r="B334" s="2" t="s">
        <v>3</v>
      </c>
    </row>
    <row r="335" spans="1:2" x14ac:dyDescent="0.3">
      <c r="A335" s="2" t="s">
        <v>386</v>
      </c>
      <c r="B335" s="2" t="s">
        <v>59</v>
      </c>
    </row>
    <row r="336" spans="1:2" x14ac:dyDescent="0.3">
      <c r="A336" s="2" t="s">
        <v>387</v>
      </c>
      <c r="B336" s="2" t="s">
        <v>388</v>
      </c>
    </row>
    <row r="337" spans="1:2" x14ac:dyDescent="0.3">
      <c r="A337" s="2" t="s">
        <v>389</v>
      </c>
      <c r="B337" s="2" t="s">
        <v>3</v>
      </c>
    </row>
    <row r="338" spans="1:2" x14ac:dyDescent="0.3">
      <c r="A338" s="2" t="s">
        <v>390</v>
      </c>
      <c r="B338" s="2" t="s">
        <v>64</v>
      </c>
    </row>
    <row r="339" spans="1:2" x14ac:dyDescent="0.3">
      <c r="A339" s="2" t="s">
        <v>391</v>
      </c>
      <c r="B339" s="2" t="s">
        <v>3</v>
      </c>
    </row>
    <row r="340" spans="1:2" x14ac:dyDescent="0.3">
      <c r="A340" s="2" t="s">
        <v>392</v>
      </c>
      <c r="B340" s="2" t="s">
        <v>67</v>
      </c>
    </row>
    <row r="341" spans="1:2" x14ac:dyDescent="0.3">
      <c r="A341" s="2" t="s">
        <v>393</v>
      </c>
      <c r="B341" s="2" t="s">
        <v>77</v>
      </c>
    </row>
    <row r="342" spans="1:2" x14ac:dyDescent="0.3">
      <c r="A342" s="2" t="s">
        <v>394</v>
      </c>
      <c r="B342" s="2" t="s">
        <v>3</v>
      </c>
    </row>
    <row r="343" spans="1:2" x14ac:dyDescent="0.3">
      <c r="A343" s="2" t="s">
        <v>395</v>
      </c>
      <c r="B343" s="2" t="s">
        <v>75</v>
      </c>
    </row>
    <row r="344" spans="1:2" x14ac:dyDescent="0.3">
      <c r="A344" s="2" t="s">
        <v>396</v>
      </c>
      <c r="B344" s="2" t="s">
        <v>3</v>
      </c>
    </row>
    <row r="345" spans="1:2" x14ac:dyDescent="0.3">
      <c r="A345" s="2" t="s">
        <v>397</v>
      </c>
      <c r="B345" s="2" t="s">
        <v>80</v>
      </c>
    </row>
    <row r="346" spans="1:2" x14ac:dyDescent="0.3">
      <c r="A346" s="2" t="s">
        <v>398</v>
      </c>
      <c r="B346" s="2" t="s">
        <v>3</v>
      </c>
    </row>
    <row r="347" spans="1:2" x14ac:dyDescent="0.3">
      <c r="A347" s="2" t="s">
        <v>399</v>
      </c>
      <c r="B347" s="2" t="s">
        <v>83</v>
      </c>
    </row>
    <row r="348" spans="1:2" x14ac:dyDescent="0.3">
      <c r="A348" s="2" t="s">
        <v>400</v>
      </c>
      <c r="B348" s="2" t="s">
        <v>3</v>
      </c>
    </row>
    <row r="349" spans="1:2" x14ac:dyDescent="0.3">
      <c r="A349" s="2" t="s">
        <v>401</v>
      </c>
      <c r="B349" s="2" t="s">
        <v>86</v>
      </c>
    </row>
    <row r="350" spans="1:2" x14ac:dyDescent="0.3">
      <c r="A350" s="2" t="s">
        <v>402</v>
      </c>
      <c r="B350" s="2" t="s">
        <v>3</v>
      </c>
    </row>
    <row r="351" spans="1:2" x14ac:dyDescent="0.3">
      <c r="A351" s="2" t="s">
        <v>403</v>
      </c>
      <c r="B351" s="2" t="s">
        <v>89</v>
      </c>
    </row>
    <row r="352" spans="1:2" x14ac:dyDescent="0.3">
      <c r="A352" s="2" t="s">
        <v>404</v>
      </c>
      <c r="B352" s="2" t="s">
        <v>3</v>
      </c>
    </row>
    <row r="353" spans="1:2" x14ac:dyDescent="0.3">
      <c r="A353" s="2" t="s">
        <v>405</v>
      </c>
      <c r="B353" s="2" t="s">
        <v>92</v>
      </c>
    </row>
    <row r="354" spans="1:2" x14ac:dyDescent="0.3">
      <c r="A354" s="2" t="s">
        <v>406</v>
      </c>
      <c r="B354" s="2" t="s">
        <v>3</v>
      </c>
    </row>
    <row r="355" spans="1:2" x14ac:dyDescent="0.3">
      <c r="A355" s="2" t="s">
        <v>407</v>
      </c>
      <c r="B355" s="2" t="s">
        <v>95</v>
      </c>
    </row>
    <row r="356" spans="1:2" x14ac:dyDescent="0.3">
      <c r="A356" s="2" t="s">
        <v>408</v>
      </c>
      <c r="B356" s="2" t="s">
        <v>3</v>
      </c>
    </row>
    <row r="357" spans="1:2" x14ac:dyDescent="0.3">
      <c r="A357" s="2" t="s">
        <v>409</v>
      </c>
      <c r="B357" s="2" t="s">
        <v>98</v>
      </c>
    </row>
    <row r="358" spans="1:2" x14ac:dyDescent="0.3">
      <c r="A358" s="2" t="s">
        <v>410</v>
      </c>
      <c r="B358" s="2" t="s">
        <v>3</v>
      </c>
    </row>
    <row r="359" spans="1:2" x14ac:dyDescent="0.3">
      <c r="A359" s="2" t="s">
        <v>411</v>
      </c>
      <c r="B359" s="2" t="s">
        <v>101</v>
      </c>
    </row>
    <row r="360" spans="1:2" x14ac:dyDescent="0.3">
      <c r="A360" s="2" t="s">
        <v>412</v>
      </c>
      <c r="B360" s="2" t="s">
        <v>3</v>
      </c>
    </row>
    <row r="361" spans="1:2" x14ac:dyDescent="0.3">
      <c r="A361" s="2" t="s">
        <v>413</v>
      </c>
      <c r="B361" s="2" t="s">
        <v>107</v>
      </c>
    </row>
    <row r="362" spans="1:2" x14ac:dyDescent="0.3">
      <c r="A362" s="2" t="s">
        <v>414</v>
      </c>
      <c r="B362" s="2" t="s">
        <v>3</v>
      </c>
    </row>
    <row r="363" spans="1:2" x14ac:dyDescent="0.3">
      <c r="A363" s="2" t="s">
        <v>415</v>
      </c>
      <c r="B363" s="2" t="s">
        <v>111</v>
      </c>
    </row>
    <row r="364" spans="1:2" x14ac:dyDescent="0.3">
      <c r="A364" s="2" t="s">
        <v>416</v>
      </c>
      <c r="B364" s="2" t="s">
        <v>3</v>
      </c>
    </row>
    <row r="365" spans="1:2" x14ac:dyDescent="0.3">
      <c r="A365" s="2" t="s">
        <v>417</v>
      </c>
      <c r="B365" s="2" t="s">
        <v>269</v>
      </c>
    </row>
    <row r="366" spans="1:2" x14ac:dyDescent="0.3">
      <c r="A366" s="2" t="s">
        <v>418</v>
      </c>
      <c r="B366" s="2" t="s">
        <v>3</v>
      </c>
    </row>
    <row r="367" spans="1:2" x14ac:dyDescent="0.3">
      <c r="A367" s="2" t="s">
        <v>419</v>
      </c>
      <c r="B367" s="2" t="s">
        <v>117</v>
      </c>
    </row>
    <row r="368" spans="1:2" x14ac:dyDescent="0.3">
      <c r="A368" s="2" t="s">
        <v>420</v>
      </c>
      <c r="B368" s="2" t="s">
        <v>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AAD9A-19AB-447D-8DEA-517A908EEA61}">
  <dimension ref="A1:A190"/>
  <sheetViews>
    <sheetView workbookViewId="0">
      <selection sqref="A1:XFD1"/>
    </sheetView>
  </sheetViews>
  <sheetFormatPr defaultRowHeight="14.4" x14ac:dyDescent="0.3"/>
  <cols>
    <col min="1" max="16384" width="8.88671875" style="2"/>
  </cols>
  <sheetData>
    <row r="1" spans="1:1" s="1" customFormat="1" x14ac:dyDescent="0.3">
      <c r="A1" s="1" t="s">
        <v>1</v>
      </c>
    </row>
    <row r="2" spans="1:1" x14ac:dyDescent="0.3">
      <c r="A2" s="2" t="str">
        <f>'Nation Wise Summary'!A2</f>
        <v>India</v>
      </c>
    </row>
    <row r="3" spans="1:1" x14ac:dyDescent="0.3">
      <c r="A3" s="2" t="str">
        <f>'Nation Wise Summary'!A3</f>
        <v>China</v>
      </c>
    </row>
    <row r="4" spans="1:1" x14ac:dyDescent="0.3">
      <c r="A4" s="2" t="str">
        <f>'Nation Wise Summary'!A4</f>
        <v>United States</v>
      </c>
    </row>
    <row r="5" spans="1:1" x14ac:dyDescent="0.3">
      <c r="A5" s="2" t="str">
        <f>'Nation Wise Summary'!A5</f>
        <v>Indonesia</v>
      </c>
    </row>
    <row r="6" spans="1:1" x14ac:dyDescent="0.3">
      <c r="A6" s="2" t="str">
        <f>'Nation Wise Summary'!A6</f>
        <v>Pakistan</v>
      </c>
    </row>
    <row r="7" spans="1:1" x14ac:dyDescent="0.3">
      <c r="A7" s="2" t="str">
        <f>'Nation Wise Summary'!A7</f>
        <v>Nigeria</v>
      </c>
    </row>
    <row r="8" spans="1:1" x14ac:dyDescent="0.3">
      <c r="A8" s="2" t="str">
        <f>'Nation Wise Summary'!A8</f>
        <v>Brazil</v>
      </c>
    </row>
    <row r="9" spans="1:1" x14ac:dyDescent="0.3">
      <c r="A9" s="2" t="str">
        <f>'Nation Wise Summary'!A9</f>
        <v>Bangladesh</v>
      </c>
    </row>
    <row r="10" spans="1:1" x14ac:dyDescent="0.3">
      <c r="A10" s="2" t="str">
        <f>'Nation Wise Summary'!A10</f>
        <v>Russia</v>
      </c>
    </row>
    <row r="11" spans="1:1" x14ac:dyDescent="0.3">
      <c r="A11" s="2" t="str">
        <f>'Nation Wise Summary'!A11</f>
        <v>Ethiopia</v>
      </c>
    </row>
    <row r="12" spans="1:1" x14ac:dyDescent="0.3">
      <c r="A12" s="2" t="str">
        <f>'Nation Wise Summary'!A12</f>
        <v>Mexico</v>
      </c>
    </row>
    <row r="13" spans="1:1" x14ac:dyDescent="0.3">
      <c r="A13" s="2" t="str">
        <f>'Nation Wise Summary'!A13</f>
        <v>Japan</v>
      </c>
    </row>
    <row r="14" spans="1:1" x14ac:dyDescent="0.3">
      <c r="A14" s="2" t="str">
        <f>'Nation Wise Summary'!A14</f>
        <v>Egypt</v>
      </c>
    </row>
    <row r="15" spans="1:1" x14ac:dyDescent="0.3">
      <c r="A15" s="2" t="str">
        <f>'Nation Wise Summary'!A15</f>
        <v>Phillipines</v>
      </c>
    </row>
    <row r="16" spans="1:1" x14ac:dyDescent="0.3">
      <c r="A16" s="2" t="str">
        <f>'Nation Wise Summary'!A16</f>
        <v>DR Congo</v>
      </c>
    </row>
    <row r="17" spans="1:1" x14ac:dyDescent="0.3">
      <c r="A17" s="2" t="str">
        <f>'Nation Wise Summary'!A17</f>
        <v>Vietnam</v>
      </c>
    </row>
    <row r="18" spans="1:1" x14ac:dyDescent="0.3">
      <c r="A18" s="2" t="str">
        <f>'Nation Wise Summary'!A18</f>
        <v>Iran</v>
      </c>
    </row>
    <row r="19" spans="1:1" x14ac:dyDescent="0.3">
      <c r="A19" s="2" t="str">
        <f>'Nation Wise Summary'!A19</f>
        <v>Turkey</v>
      </c>
    </row>
    <row r="20" spans="1:1" x14ac:dyDescent="0.3">
      <c r="A20" s="2" t="str">
        <f>'Nation Wise Summary'!A20</f>
        <v>Germany</v>
      </c>
    </row>
    <row r="21" spans="1:1" x14ac:dyDescent="0.3">
      <c r="A21" s="2" t="str">
        <f>'Nation Wise Summary'!A21</f>
        <v>Tanzania</v>
      </c>
    </row>
    <row r="22" spans="1:1" x14ac:dyDescent="0.3">
      <c r="A22" s="2" t="str">
        <f>'Nation Wise Summary'!A22</f>
        <v>Thailand</v>
      </c>
    </row>
    <row r="23" spans="1:1" x14ac:dyDescent="0.3">
      <c r="A23" s="2" t="str">
        <f>'Nation Wise Summary'!A23</f>
        <v>United Kingdom</v>
      </c>
    </row>
    <row r="24" spans="1:1" x14ac:dyDescent="0.3">
      <c r="A24" s="2" t="str">
        <f>'Nation Wise Summary'!A24</f>
        <v>France</v>
      </c>
    </row>
    <row r="25" spans="1:1" x14ac:dyDescent="0.3">
      <c r="A25" s="2" t="str">
        <f>'Nation Wise Summary'!A25</f>
        <v>South Africa</v>
      </c>
    </row>
    <row r="26" spans="1:1" x14ac:dyDescent="0.3">
      <c r="A26" s="2" t="str">
        <f>'Nation Wise Summary'!A26</f>
        <v>Italy</v>
      </c>
    </row>
    <row r="27" spans="1:1" x14ac:dyDescent="0.3">
      <c r="A27" s="2" t="str">
        <f>'Nation Wise Summary'!A27</f>
        <v>Kenya</v>
      </c>
    </row>
    <row r="28" spans="1:1" x14ac:dyDescent="0.3">
      <c r="A28" s="2" t="str">
        <f>'Nation Wise Summary'!A28</f>
        <v>Myanmar</v>
      </c>
    </row>
    <row r="29" spans="1:1" x14ac:dyDescent="0.3">
      <c r="A29" s="2" t="str">
        <f>'Nation Wise Summary'!A29</f>
        <v>Colombia</v>
      </c>
    </row>
    <row r="30" spans="1:1" x14ac:dyDescent="0.3">
      <c r="A30" s="2" t="str">
        <f>'Nation Wise Summary'!A30</f>
        <v>Sudan</v>
      </c>
    </row>
    <row r="31" spans="1:1" x14ac:dyDescent="0.3">
      <c r="A31" s="2" t="str">
        <f>'Nation Wise Summary'!A31</f>
        <v>Uganda</v>
      </c>
    </row>
    <row r="32" spans="1:1" x14ac:dyDescent="0.3">
      <c r="A32" s="2" t="str">
        <f>'Nation Wise Summary'!A32</f>
        <v>South Korea</v>
      </c>
    </row>
    <row r="33" spans="1:1" x14ac:dyDescent="0.3">
      <c r="A33" s="2" t="str">
        <f>'Nation Wise Summary'!A33</f>
        <v>Algeria</v>
      </c>
    </row>
    <row r="34" spans="1:1" x14ac:dyDescent="0.3">
      <c r="A34" s="2" t="str">
        <f>'Nation Wise Summary'!A34</f>
        <v>Iraq</v>
      </c>
    </row>
    <row r="35" spans="1:1" x14ac:dyDescent="0.3">
      <c r="A35" s="2" t="str">
        <f>'Nation Wise Summary'!A35</f>
        <v>Spain</v>
      </c>
    </row>
    <row r="36" spans="1:1" x14ac:dyDescent="0.3">
      <c r="A36" s="2" t="str">
        <f>'Nation Wise Summary'!A36</f>
        <v>Argentina</v>
      </c>
    </row>
    <row r="37" spans="1:1" x14ac:dyDescent="0.3">
      <c r="A37" s="2" t="str">
        <f>'Nation Wise Summary'!A37</f>
        <v>Afghanistan</v>
      </c>
    </row>
    <row r="38" spans="1:1" x14ac:dyDescent="0.3">
      <c r="A38" s="2" t="str">
        <f>'Nation Wise Summary'!A38</f>
        <v>Yemen</v>
      </c>
    </row>
    <row r="39" spans="1:1" x14ac:dyDescent="0.3">
      <c r="A39" s="2" t="str">
        <f>'Nation Wise Summary'!A39</f>
        <v>Canada</v>
      </c>
    </row>
    <row r="40" spans="1:1" x14ac:dyDescent="0.3">
      <c r="A40" s="2" t="str">
        <f>'Nation Wise Summary'!A40</f>
        <v>Angola</v>
      </c>
    </row>
    <row r="41" spans="1:1" x14ac:dyDescent="0.3">
      <c r="A41" s="2" t="str">
        <f>'Nation Wise Summary'!A41</f>
        <v>Ukraine</v>
      </c>
    </row>
    <row r="42" spans="1:1" x14ac:dyDescent="0.3">
      <c r="A42" s="2" t="str">
        <f>'Nation Wise Summary'!A42</f>
        <v>Morocco</v>
      </c>
    </row>
    <row r="43" spans="1:1" x14ac:dyDescent="0.3">
      <c r="A43" s="2" t="str">
        <f>'Nation Wise Summary'!A43</f>
        <v>Poland</v>
      </c>
    </row>
    <row r="44" spans="1:1" x14ac:dyDescent="0.3">
      <c r="A44" s="2" t="str">
        <f>'Nation Wise Summary'!A44</f>
        <v>Uzbekistan</v>
      </c>
    </row>
    <row r="45" spans="1:1" x14ac:dyDescent="0.3">
      <c r="A45" s="2" t="str">
        <f>'Nation Wise Summary'!A45</f>
        <v>Mozambique</v>
      </c>
    </row>
    <row r="46" spans="1:1" x14ac:dyDescent="0.3">
      <c r="A46" s="2" t="str">
        <f>'Nation Wise Summary'!A46</f>
        <v>Malaysia</v>
      </c>
    </row>
    <row r="47" spans="1:1" x14ac:dyDescent="0.3">
      <c r="A47" s="2" t="str">
        <f>'Nation Wise Summary'!A47</f>
        <v>Ghana</v>
      </c>
    </row>
    <row r="48" spans="1:1" x14ac:dyDescent="0.3">
      <c r="A48" s="2" t="str">
        <f>'Nation Wise Summary'!A48</f>
        <v>Saudi Arabia</v>
      </c>
    </row>
    <row r="49" spans="1:1" x14ac:dyDescent="0.3">
      <c r="A49" s="2" t="str">
        <f>'Nation Wise Summary'!A49</f>
        <v>Peru</v>
      </c>
    </row>
    <row r="50" spans="1:1" x14ac:dyDescent="0.3">
      <c r="A50" s="2" t="str">
        <f>'Nation Wise Summary'!A50</f>
        <v>Madagascar</v>
      </c>
    </row>
    <row r="51" spans="1:1" x14ac:dyDescent="0.3">
      <c r="A51" s="2" t="str">
        <f>'Nation Wise Summary'!A51</f>
        <v>Cote d Ivoire</v>
      </c>
    </row>
    <row r="52" spans="1:1" x14ac:dyDescent="0.3">
      <c r="A52" s="2" t="str">
        <f>'Nation Wise Summary'!A52</f>
        <v>Cameroon</v>
      </c>
    </row>
    <row r="53" spans="1:1" x14ac:dyDescent="0.3">
      <c r="A53" s="2" t="str">
        <f>'Nation Wise Summary'!A53</f>
        <v>Nepal</v>
      </c>
    </row>
    <row r="54" spans="1:1" x14ac:dyDescent="0.3">
      <c r="A54" s="2" t="str">
        <f>'Nation Wise Summary'!A54</f>
        <v>Niger</v>
      </c>
    </row>
    <row r="55" spans="1:1" x14ac:dyDescent="0.3">
      <c r="A55" s="2" t="str">
        <f>'Nation Wise Summary'!A55</f>
        <v>Venezuela</v>
      </c>
    </row>
    <row r="56" spans="1:1" x14ac:dyDescent="0.3">
      <c r="A56" s="2" t="str">
        <f>'Nation Wise Summary'!A56</f>
        <v>Australia</v>
      </c>
    </row>
    <row r="57" spans="1:1" x14ac:dyDescent="0.3">
      <c r="A57" s="2" t="str">
        <f>'Nation Wise Summary'!A57</f>
        <v>North Korea</v>
      </c>
    </row>
    <row r="58" spans="1:1" x14ac:dyDescent="0.3">
      <c r="A58" s="2" t="str">
        <f>'Nation Wise Summary'!A58</f>
        <v>Syria</v>
      </c>
    </row>
    <row r="59" spans="1:1" x14ac:dyDescent="0.3">
      <c r="A59" s="2" t="str">
        <f>'Nation Wise Summary'!A59</f>
        <v>Mali</v>
      </c>
    </row>
    <row r="60" spans="1:1" x14ac:dyDescent="0.3">
      <c r="A60" s="2" t="str">
        <f>'Nation Wise Summary'!A60</f>
        <v>Burkina Faso</v>
      </c>
    </row>
    <row r="61" spans="1:1" x14ac:dyDescent="0.3">
      <c r="A61" s="2" t="str">
        <f>'Nation Wise Summary'!A61</f>
        <v>Sri Lanka</v>
      </c>
    </row>
    <row r="62" spans="1:1" x14ac:dyDescent="0.3">
      <c r="A62" s="2" t="str">
        <f>'Nation Wise Summary'!A62</f>
        <v>Malawi</v>
      </c>
    </row>
    <row r="63" spans="1:1" x14ac:dyDescent="0.3">
      <c r="A63" s="2" t="str">
        <f>'Nation Wise Summary'!A63</f>
        <v>Zambia</v>
      </c>
    </row>
    <row r="64" spans="1:1" x14ac:dyDescent="0.3">
      <c r="A64" s="2" t="str">
        <f>'Nation Wise Summary'!A64</f>
        <v>Chad</v>
      </c>
    </row>
    <row r="65" spans="1:1" x14ac:dyDescent="0.3">
      <c r="A65" s="2" t="str">
        <f>'Nation Wise Summary'!A65</f>
        <v>Kazakhstan</v>
      </c>
    </row>
    <row r="66" spans="1:1" x14ac:dyDescent="0.3">
      <c r="A66" s="2" t="str">
        <f>'Nation Wise Summary'!A66</f>
        <v>Somalia</v>
      </c>
    </row>
    <row r="67" spans="1:1" x14ac:dyDescent="0.3">
      <c r="A67" s="2" t="str">
        <f>'Nation Wise Summary'!A67</f>
        <v>Chile</v>
      </c>
    </row>
    <row r="68" spans="1:1" x14ac:dyDescent="0.3">
      <c r="A68" s="2" t="str">
        <f>'Nation Wise Summary'!A68</f>
        <v>Senegal</v>
      </c>
    </row>
    <row r="69" spans="1:1" x14ac:dyDescent="0.3">
      <c r="A69" s="2" t="str">
        <f>'Nation Wise Summary'!A69</f>
        <v>Guatemala</v>
      </c>
    </row>
    <row r="70" spans="1:1" x14ac:dyDescent="0.3">
      <c r="A70" s="2" t="str">
        <f>'Nation Wise Summary'!A70</f>
        <v>Romania</v>
      </c>
    </row>
    <row r="71" spans="1:1" x14ac:dyDescent="0.3">
      <c r="A71" s="2" t="str">
        <f>'Nation Wise Summary'!A71</f>
        <v>Netherlands</v>
      </c>
    </row>
    <row r="72" spans="1:1" x14ac:dyDescent="0.3">
      <c r="A72" s="2" t="str">
        <f>'Nation Wise Summary'!A72</f>
        <v>Ecuador</v>
      </c>
    </row>
    <row r="73" spans="1:1" x14ac:dyDescent="0.3">
      <c r="A73" s="2" t="str">
        <f>'Nation Wise Summary'!A73</f>
        <v>Cambodia</v>
      </c>
    </row>
    <row r="74" spans="1:1" x14ac:dyDescent="0.3">
      <c r="A74" s="2" t="str">
        <f>'Nation Wise Summary'!A74</f>
        <v>Zimbabwe</v>
      </c>
    </row>
    <row r="75" spans="1:1" x14ac:dyDescent="0.3">
      <c r="A75" s="2" t="str">
        <f>'Nation Wise Summary'!A75</f>
        <v>Guinea</v>
      </c>
    </row>
    <row r="76" spans="1:1" x14ac:dyDescent="0.3">
      <c r="A76" s="2" t="str">
        <f>'Nation Wise Summary'!A76</f>
        <v>Benin</v>
      </c>
    </row>
    <row r="77" spans="1:1" x14ac:dyDescent="0.3">
      <c r="A77" s="2" t="str">
        <f>'Nation Wise Summary'!A77</f>
        <v>Rwanda</v>
      </c>
    </row>
    <row r="78" spans="1:1" x14ac:dyDescent="0.3">
      <c r="A78" s="2" t="str">
        <f>'Nation Wise Summary'!A78</f>
        <v>Burundi</v>
      </c>
    </row>
    <row r="79" spans="1:1" x14ac:dyDescent="0.3">
      <c r="A79" s="2" t="str">
        <f>'Nation Wise Summary'!A79</f>
        <v>Bolivia</v>
      </c>
    </row>
    <row r="80" spans="1:1" x14ac:dyDescent="0.3">
      <c r="A80" s="2" t="str">
        <f>'Nation Wise Summary'!A80</f>
        <v>South Sudan</v>
      </c>
    </row>
    <row r="81" spans="1:1" x14ac:dyDescent="0.3">
      <c r="A81" s="2" t="str">
        <f>'Nation Wise Summary'!A81</f>
        <v>Tunisia</v>
      </c>
    </row>
    <row r="82" spans="1:1" x14ac:dyDescent="0.3">
      <c r="A82" s="2" t="str">
        <f>'Nation Wise Summary'!A82</f>
        <v>Belgium</v>
      </c>
    </row>
    <row r="83" spans="1:1" x14ac:dyDescent="0.3">
      <c r="A83" s="2" t="str">
        <f>'Nation Wise Summary'!A83</f>
        <v>Dominican Republic</v>
      </c>
    </row>
    <row r="84" spans="1:1" x14ac:dyDescent="0.3">
      <c r="A84" s="2" t="str">
        <f>'Nation Wise Summary'!A84</f>
        <v>Jordan</v>
      </c>
    </row>
    <row r="85" spans="1:1" x14ac:dyDescent="0.3">
      <c r="A85" s="2" t="str">
        <f>'Nation Wise Summary'!A85</f>
        <v>United Arab Emirates</v>
      </c>
    </row>
    <row r="86" spans="1:1" x14ac:dyDescent="0.3">
      <c r="A86" s="2" t="str">
        <f>'Nation Wise Summary'!A86</f>
        <v>Honduras</v>
      </c>
    </row>
    <row r="87" spans="1:1" x14ac:dyDescent="0.3">
      <c r="A87" s="2" t="str">
        <f>'Nation Wise Summary'!A87</f>
        <v>Tajikistan</v>
      </c>
    </row>
    <row r="88" spans="1:1" x14ac:dyDescent="0.3">
      <c r="A88" s="2" t="str">
        <f>'Nation Wise Summary'!A88</f>
        <v>Papua New Guinea</v>
      </c>
    </row>
    <row r="89" spans="1:1" x14ac:dyDescent="0.3">
      <c r="A89" s="2" t="str">
        <f>'Nation Wise Summary'!A89</f>
        <v>Cuba</v>
      </c>
    </row>
    <row r="90" spans="1:1" x14ac:dyDescent="0.3">
      <c r="A90" s="2" t="str">
        <f>'Nation Wise Summary'!A90</f>
        <v>Sweden</v>
      </c>
    </row>
    <row r="91" spans="1:1" x14ac:dyDescent="0.3">
      <c r="A91" s="2" t="str">
        <f>'Nation Wise Summary'!A91</f>
        <v>Czech Republic</v>
      </c>
    </row>
    <row r="92" spans="1:1" x14ac:dyDescent="0.3">
      <c r="A92" s="2" t="str">
        <f>'Nation Wise Summary'!A92</f>
        <v>Azerbaijan</v>
      </c>
    </row>
    <row r="93" spans="1:1" x14ac:dyDescent="0.3">
      <c r="A93" s="2" t="str">
        <f>'Nation Wise Summary'!A93</f>
        <v>Portugal</v>
      </c>
    </row>
    <row r="94" spans="1:1" x14ac:dyDescent="0.3">
      <c r="A94" s="2" t="str">
        <f>'Nation Wise Summary'!A94</f>
        <v>Togo</v>
      </c>
    </row>
    <row r="95" spans="1:1" x14ac:dyDescent="0.3">
      <c r="A95" s="2" t="str">
        <f>'Nation Wise Summary'!A95</f>
        <v>Greece</v>
      </c>
    </row>
    <row r="96" spans="1:1" x14ac:dyDescent="0.3">
      <c r="A96" s="2" t="str">
        <f>'Nation Wise Summary'!A96</f>
        <v>Israel</v>
      </c>
    </row>
    <row r="97" spans="1:1" x14ac:dyDescent="0.3">
      <c r="A97" s="2" t="str">
        <f>'Nation Wise Summary'!A97</f>
        <v>Hungary</v>
      </c>
    </row>
    <row r="98" spans="1:1" x14ac:dyDescent="0.3">
      <c r="A98" s="2" t="str">
        <f>'Nation Wise Summary'!A98</f>
        <v>Austria</v>
      </c>
    </row>
    <row r="99" spans="1:1" x14ac:dyDescent="0.3">
      <c r="A99" s="2" t="str">
        <f>'Nation Wise Summary'!A99</f>
        <v>Switzerland</v>
      </c>
    </row>
    <row r="100" spans="1:1" x14ac:dyDescent="0.3">
      <c r="A100" s="2" t="str">
        <f>'Nation Wise Summary'!A100</f>
        <v>Sierra Leone</v>
      </c>
    </row>
    <row r="101" spans="1:1" x14ac:dyDescent="0.3">
      <c r="A101" s="2" t="str">
        <f>'Nation Wise Summary'!A101</f>
        <v>Belarus</v>
      </c>
    </row>
    <row r="102" spans="1:1" x14ac:dyDescent="0.3">
      <c r="A102" s="2" t="str">
        <f>'Nation Wise Summary'!A102</f>
        <v>Laos</v>
      </c>
    </row>
    <row r="103" spans="1:1" x14ac:dyDescent="0.3">
      <c r="A103" s="2" t="str">
        <f>'Nation Wise Summary'!A103</f>
        <v>Turkmenistan</v>
      </c>
    </row>
    <row r="104" spans="1:1" x14ac:dyDescent="0.3">
      <c r="A104" s="2" t="str">
        <f>'Nation Wise Summary'!A104</f>
        <v>Libya</v>
      </c>
    </row>
    <row r="105" spans="1:1" x14ac:dyDescent="0.3">
      <c r="A105" s="2" t="str">
        <f>'Nation Wise Summary'!A105</f>
        <v>Kyrgyzstan</v>
      </c>
    </row>
    <row r="106" spans="1:1" x14ac:dyDescent="0.3">
      <c r="A106" s="2" t="str">
        <f>'Nation Wise Summary'!A106</f>
        <v>Nicaragua</v>
      </c>
    </row>
    <row r="107" spans="1:1" x14ac:dyDescent="0.3">
      <c r="A107" s="2" t="str">
        <f>'Nation Wise Summary'!A107</f>
        <v>Paraguay</v>
      </c>
    </row>
    <row r="108" spans="1:1" x14ac:dyDescent="0.3">
      <c r="A108" s="2" t="str">
        <f>'Nation Wise Summary'!A108</f>
        <v>Bulgaria</v>
      </c>
    </row>
    <row r="109" spans="1:1" x14ac:dyDescent="0.3">
      <c r="A109" s="2" t="str">
        <f>'Nation Wise Summary'!A109</f>
        <v>Serbia</v>
      </c>
    </row>
    <row r="110" spans="1:1" x14ac:dyDescent="0.3">
      <c r="A110" s="2" t="str">
        <f>'Nation Wise Summary'!A110</f>
        <v>Congo</v>
      </c>
    </row>
    <row r="111" spans="1:1" x14ac:dyDescent="0.3">
      <c r="A111" s="2" t="str">
        <f>'Nation Wise Summary'!A111</f>
        <v>El Salvador</v>
      </c>
    </row>
    <row r="112" spans="1:1" x14ac:dyDescent="0.3">
      <c r="A112" s="2" t="str">
        <f>'Nation Wise Summary'!A112</f>
        <v>Denmark</v>
      </c>
    </row>
    <row r="113" spans="1:1" x14ac:dyDescent="0.3">
      <c r="A113" s="2" t="str">
        <f>'Nation Wise Summary'!A113</f>
        <v>Singapore</v>
      </c>
    </row>
    <row r="114" spans="1:1" x14ac:dyDescent="0.3">
      <c r="A114" s="2" t="str">
        <f>'Nation Wise Summary'!A114</f>
        <v>Lebanon</v>
      </c>
    </row>
    <row r="115" spans="1:1" x14ac:dyDescent="0.3">
      <c r="A115" s="2" t="str">
        <f>'Nation Wise Summary'!A115</f>
        <v>Liberia</v>
      </c>
    </row>
    <row r="116" spans="1:1" x14ac:dyDescent="0.3">
      <c r="A116" s="2" t="str">
        <f>'Nation Wise Summary'!A116</f>
        <v>Central African Republic</v>
      </c>
    </row>
    <row r="117" spans="1:1" x14ac:dyDescent="0.3">
      <c r="A117" s="2" t="str">
        <f>'Nation Wise Summary'!A117</f>
        <v>Palestine</v>
      </c>
    </row>
    <row r="118" spans="1:1" x14ac:dyDescent="0.3">
      <c r="A118" s="2" t="str">
        <f>'Nation Wise Summary'!A118</f>
        <v>Oman</v>
      </c>
    </row>
    <row r="119" spans="1:1" x14ac:dyDescent="0.3">
      <c r="A119" s="2" t="str">
        <f>'Nation Wise Summary'!A119</f>
        <v>Norway</v>
      </c>
    </row>
    <row r="120" spans="1:1" x14ac:dyDescent="0.3">
      <c r="A120" s="2" t="str">
        <f>'Nation Wise Summary'!A120</f>
        <v>Finland</v>
      </c>
    </row>
    <row r="121" spans="1:1" x14ac:dyDescent="0.3">
      <c r="A121" s="2" t="str">
        <f>'Nation Wise Summary'!A121</f>
        <v>Mauritania</v>
      </c>
    </row>
    <row r="122" spans="1:1" x14ac:dyDescent="0.3">
      <c r="A122" s="2" t="str">
        <f>'Nation Wise Summary'!A122</f>
        <v>Slovakia</v>
      </c>
    </row>
    <row r="123" spans="1:1" x14ac:dyDescent="0.3">
      <c r="A123" s="2" t="str">
        <f>'Nation Wise Summary'!A123</f>
        <v>Ireland</v>
      </c>
    </row>
    <row r="124" spans="1:1" x14ac:dyDescent="0.3">
      <c r="A124" s="2" t="str">
        <f>'Nation Wise Summary'!A124</f>
        <v>New Zealand</v>
      </c>
    </row>
    <row r="125" spans="1:1" x14ac:dyDescent="0.3">
      <c r="A125" s="2" t="str">
        <f>'Nation Wise Summary'!A125</f>
        <v>Costa Rica</v>
      </c>
    </row>
    <row r="126" spans="1:1" x14ac:dyDescent="0.3">
      <c r="A126" s="2" t="str">
        <f>'Nation Wise Summary'!A126</f>
        <v>Kuwait</v>
      </c>
    </row>
    <row r="127" spans="1:1" x14ac:dyDescent="0.3">
      <c r="A127" s="2" t="str">
        <f>'Nation Wise Summary'!A127</f>
        <v>Panama</v>
      </c>
    </row>
    <row r="128" spans="1:1" x14ac:dyDescent="0.3">
      <c r="A128" s="2" t="str">
        <f>'Nation Wise Summary'!A128</f>
        <v>Croatia</v>
      </c>
    </row>
    <row r="129" spans="1:1" x14ac:dyDescent="0.3">
      <c r="A129" s="2" t="str">
        <f>'Nation Wise Summary'!A129</f>
        <v>Georgia</v>
      </c>
    </row>
    <row r="130" spans="1:1" x14ac:dyDescent="0.3">
      <c r="A130" s="2" t="str">
        <f>'Nation Wise Summary'!A130</f>
        <v>Eritrea</v>
      </c>
    </row>
    <row r="131" spans="1:1" x14ac:dyDescent="0.3">
      <c r="A131" s="2" t="str">
        <f>'Nation Wise Summary'!A131</f>
        <v>Mongolia</v>
      </c>
    </row>
    <row r="132" spans="1:1" x14ac:dyDescent="0.3">
      <c r="A132" s="2" t="str">
        <f>'Nation Wise Summary'!A132</f>
        <v>Uruguay</v>
      </c>
    </row>
    <row r="133" spans="1:1" x14ac:dyDescent="0.3">
      <c r="A133" s="2" t="str">
        <f>'Nation Wise Summary'!A133</f>
        <v>Qatar</v>
      </c>
    </row>
    <row r="134" spans="1:1" x14ac:dyDescent="0.3">
      <c r="A134" s="2" t="str">
        <f>'Nation Wise Summary'!A134</f>
        <v>Namibia</v>
      </c>
    </row>
    <row r="135" spans="1:1" x14ac:dyDescent="0.3">
      <c r="A135" s="2" t="str">
        <f>'Nation Wise Summary'!A135</f>
        <v>Bosnia and Herzegovina</v>
      </c>
    </row>
    <row r="136" spans="1:1" x14ac:dyDescent="0.3">
      <c r="A136" s="2" t="str">
        <f>'Nation Wise Summary'!A136</f>
        <v>Moldova</v>
      </c>
    </row>
    <row r="137" spans="1:1" x14ac:dyDescent="0.3">
      <c r="A137" s="2" t="str">
        <f>'Nation Wise Summary'!A137</f>
        <v>Armenia</v>
      </c>
    </row>
    <row r="138" spans="1:1" x14ac:dyDescent="0.3">
      <c r="A138" s="2" t="str">
        <f>'Nation Wise Summary'!A138</f>
        <v>Gambia</v>
      </c>
    </row>
    <row r="139" spans="1:1" x14ac:dyDescent="0.3">
      <c r="A139" s="2" t="str">
        <f>'Nation Wise Summary'!A139</f>
        <v>Jamaica</v>
      </c>
    </row>
    <row r="140" spans="1:1" x14ac:dyDescent="0.3">
      <c r="A140" s="2" t="str">
        <f>'Nation Wise Summary'!A140</f>
        <v>Lithuania</v>
      </c>
    </row>
    <row r="141" spans="1:1" x14ac:dyDescent="0.3">
      <c r="A141" s="2" t="str">
        <f>'Nation Wise Summary'!A141</f>
        <v>Albania</v>
      </c>
    </row>
    <row r="142" spans="1:1" x14ac:dyDescent="0.3">
      <c r="A142" s="2" t="str">
        <f>'Nation Wise Summary'!A142</f>
        <v>Gabon</v>
      </c>
    </row>
    <row r="143" spans="1:1" x14ac:dyDescent="0.3">
      <c r="A143" s="2" t="str">
        <f>'Nation Wise Summary'!A143</f>
        <v>Botswana</v>
      </c>
    </row>
    <row r="144" spans="1:1" x14ac:dyDescent="0.3">
      <c r="A144" s="2" t="str">
        <f>'Nation Wise Summary'!A144</f>
        <v>Lesotho</v>
      </c>
    </row>
    <row r="145" spans="1:1" x14ac:dyDescent="0.3">
      <c r="A145" s="2" t="str">
        <f>'Nation Wise Summary'!A145</f>
        <v>Guinea-Bissau</v>
      </c>
    </row>
    <row r="146" spans="1:1" x14ac:dyDescent="0.3">
      <c r="A146" s="2" t="str">
        <f>'Nation Wise Summary'!A146</f>
        <v>Slovenia</v>
      </c>
    </row>
    <row r="147" spans="1:1" x14ac:dyDescent="0.3">
      <c r="A147" s="2" t="str">
        <f>'Nation Wise Summary'!A147</f>
        <v>Equatorial Guinea</v>
      </c>
    </row>
    <row r="148" spans="1:1" x14ac:dyDescent="0.3">
      <c r="A148" s="2" t="str">
        <f>'Nation Wise Summary'!A148</f>
        <v>Latvia</v>
      </c>
    </row>
    <row r="149" spans="1:1" x14ac:dyDescent="0.3">
      <c r="A149" s="2" t="str">
        <f>'Nation Wise Summary'!A149</f>
        <v>North Macedonia</v>
      </c>
    </row>
    <row r="150" spans="1:1" x14ac:dyDescent="0.3">
      <c r="A150" s="2" t="str">
        <f>'Nation Wise Summary'!A150</f>
        <v>Bahrain</v>
      </c>
    </row>
    <row r="151" spans="1:1" x14ac:dyDescent="0.3">
      <c r="A151" s="2" t="str">
        <f>'Nation Wise Summary'!A151</f>
        <v>Trinidad and Tobago</v>
      </c>
    </row>
    <row r="152" spans="1:1" x14ac:dyDescent="0.3">
      <c r="A152" s="2" t="str">
        <f>'Nation Wise Summary'!A152</f>
        <v>Timor-Leste</v>
      </c>
    </row>
    <row r="153" spans="1:1" x14ac:dyDescent="0.3">
      <c r="A153" s="2" t="str">
        <f>'Nation Wise Summary'!A153</f>
        <v>Cyprus</v>
      </c>
    </row>
    <row r="154" spans="1:1" x14ac:dyDescent="0.3">
      <c r="A154" s="2" t="str">
        <f>'Nation Wise Summary'!A154</f>
        <v>Estonia</v>
      </c>
    </row>
    <row r="155" spans="1:1" x14ac:dyDescent="0.3">
      <c r="A155" s="2" t="str">
        <f>'Nation Wise Summary'!A155</f>
        <v>Eswatini</v>
      </c>
    </row>
    <row r="156" spans="1:1" x14ac:dyDescent="0.3">
      <c r="A156" s="2" t="str">
        <f>'Nation Wise Summary'!A156</f>
        <v>Mauritius</v>
      </c>
    </row>
    <row r="157" spans="1:1" x14ac:dyDescent="0.3">
      <c r="A157" s="2" t="str">
        <f>'Nation Wise Summary'!A157</f>
        <v>Djibouti</v>
      </c>
    </row>
    <row r="158" spans="1:1" x14ac:dyDescent="0.3">
      <c r="A158" s="2" t="str">
        <f>'Nation Wise Summary'!A158</f>
        <v>Fiji</v>
      </c>
    </row>
    <row r="159" spans="1:1" x14ac:dyDescent="0.3">
      <c r="A159" s="2" t="str">
        <f>'Nation Wise Summary'!A159</f>
        <v>Comoros</v>
      </c>
    </row>
    <row r="160" spans="1:1" x14ac:dyDescent="0.3">
      <c r="A160" s="2" t="str">
        <f>'Nation Wise Summary'!A160</f>
        <v>Solomon Islands</v>
      </c>
    </row>
    <row r="161" spans="1:1" x14ac:dyDescent="0.3">
      <c r="A161" s="2" t="str">
        <f>'Nation Wise Summary'!A161</f>
        <v>Guyana</v>
      </c>
    </row>
    <row r="162" spans="1:1" x14ac:dyDescent="0.3">
      <c r="A162" s="2" t="str">
        <f>'Nation Wise Summary'!A162</f>
        <v>Bhutan</v>
      </c>
    </row>
    <row r="163" spans="1:1" x14ac:dyDescent="0.3">
      <c r="A163" s="2" t="str">
        <f>'Nation Wise Summary'!A163</f>
        <v>Luxembourg</v>
      </c>
    </row>
    <row r="164" spans="1:1" x14ac:dyDescent="0.3">
      <c r="A164" s="2" t="str">
        <f>'Nation Wise Summary'!A164</f>
        <v>Suriname</v>
      </c>
    </row>
    <row r="165" spans="1:1" x14ac:dyDescent="0.3">
      <c r="A165" s="2" t="str">
        <f>'Nation Wise Summary'!A165</f>
        <v>Montenegro</v>
      </c>
    </row>
    <row r="166" spans="1:1" x14ac:dyDescent="0.3">
      <c r="A166" s="2" t="str">
        <f>'Nation Wise Summary'!A166</f>
        <v>Malta</v>
      </c>
    </row>
    <row r="167" spans="1:1" x14ac:dyDescent="0.3">
      <c r="A167" s="2" t="str">
        <f>'Nation Wise Summary'!A167</f>
        <v>Maldives</v>
      </c>
    </row>
    <row r="168" spans="1:1" x14ac:dyDescent="0.3">
      <c r="A168" s="2" t="str">
        <f>'Nation Wise Summary'!A168</f>
        <v>Cabo Verde</v>
      </c>
    </row>
    <row r="169" spans="1:1" x14ac:dyDescent="0.3">
      <c r="A169" s="2" t="str">
        <f>'Nation Wise Summary'!A169</f>
        <v>Brunei</v>
      </c>
    </row>
    <row r="170" spans="1:1" x14ac:dyDescent="0.3">
      <c r="A170" s="2" t="str">
        <f>'Nation Wise Summary'!A170</f>
        <v>Belize</v>
      </c>
    </row>
    <row r="171" spans="1:1" x14ac:dyDescent="0.3">
      <c r="A171" s="2" t="str">
        <f>'Nation Wise Summary'!A171</f>
        <v>Bahamas</v>
      </c>
    </row>
    <row r="172" spans="1:1" x14ac:dyDescent="0.3">
      <c r="A172" s="2" t="str">
        <f>'Nation Wise Summary'!A172</f>
        <v>Iceland</v>
      </c>
    </row>
    <row r="173" spans="1:1" x14ac:dyDescent="0.3">
      <c r="A173" s="2" t="str">
        <f>'Nation Wise Summary'!A173</f>
        <v>Vanuatu</v>
      </c>
    </row>
    <row r="174" spans="1:1" x14ac:dyDescent="0.3">
      <c r="A174" s="2" t="str">
        <f>'Nation Wise Summary'!A174</f>
        <v>Barbados</v>
      </c>
    </row>
    <row r="175" spans="1:1" x14ac:dyDescent="0.3">
      <c r="A175" s="2" t="str">
        <f>'Nation Wise Summary'!A175</f>
        <v>Sao Tome &amp; Principe</v>
      </c>
    </row>
    <row r="176" spans="1:1" x14ac:dyDescent="0.3">
      <c r="A176" s="2" t="str">
        <f>'Nation Wise Summary'!A176</f>
        <v>Samoa</v>
      </c>
    </row>
    <row r="177" spans="1:1" x14ac:dyDescent="0.3">
      <c r="A177" s="2" t="str">
        <f>'Nation Wise Summary'!A177</f>
        <v>Saint Lucia</v>
      </c>
    </row>
    <row r="178" spans="1:1" x14ac:dyDescent="0.3">
      <c r="A178" s="2" t="e">
        <f>'Nation Wise Summary'!#REF!</f>
        <v>#REF!</v>
      </c>
    </row>
    <row r="179" spans="1:1" x14ac:dyDescent="0.3">
      <c r="A179" s="2" t="str">
        <f>'Nation Wise Summary'!A178</f>
        <v>Kiribati</v>
      </c>
    </row>
    <row r="180" spans="1:1" x14ac:dyDescent="0.3">
      <c r="A180" s="2" t="str">
        <f>'Nation Wise Summary'!A179</f>
        <v>Seychelles</v>
      </c>
    </row>
    <row r="181" spans="1:1" x14ac:dyDescent="0.3">
      <c r="A181" s="2" t="str">
        <f>'Nation Wise Summary'!A180</f>
        <v>Grenada</v>
      </c>
    </row>
    <row r="182" spans="1:1" x14ac:dyDescent="0.3">
      <c r="A182" s="2" t="str">
        <f>'Nation Wise Summary'!A181</f>
        <v>Micronesia</v>
      </c>
    </row>
    <row r="183" spans="1:1" x14ac:dyDescent="0.3">
      <c r="A183" s="2" t="str">
        <f>'Nation Wise Summary'!A182</f>
        <v>Tonga</v>
      </c>
    </row>
    <row r="184" spans="1:1" x14ac:dyDescent="0.3">
      <c r="A184" s="2" t="str">
        <f>'Nation Wise Summary'!A183</f>
        <v>Saint Vincent and Grenadines</v>
      </c>
    </row>
    <row r="185" spans="1:1" x14ac:dyDescent="0.3">
      <c r="A185" s="2" t="str">
        <f>'Nation Wise Summary'!A184</f>
        <v>Antigua and Barbuda</v>
      </c>
    </row>
    <row r="186" spans="1:1" x14ac:dyDescent="0.3">
      <c r="A186" s="2" t="e">
        <f>'Nation Wise Summary'!#REF!</f>
        <v>#REF!</v>
      </c>
    </row>
    <row r="187" spans="1:1" x14ac:dyDescent="0.3">
      <c r="A187" s="2" t="str">
        <f>'Nation Wise Summary'!A185</f>
        <v>Andorra</v>
      </c>
    </row>
    <row r="188" spans="1:1" x14ac:dyDescent="0.3">
      <c r="A188" s="2" t="str">
        <f>'Nation Wise Summary'!A186</f>
        <v>Cayman Islands</v>
      </c>
    </row>
    <row r="189" spans="1:1" x14ac:dyDescent="0.3">
      <c r="A189" s="2" t="str">
        <f>'Nation Wise Summary'!A187</f>
        <v>Dominica</v>
      </c>
    </row>
    <row r="190" spans="1:1" x14ac:dyDescent="0.3">
      <c r="A190" s="2" t="str">
        <f>'Nation Wise Summary'!A188</f>
        <v>Bermuda</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7CE2C2-BF5C-4508-A63A-651072F16852}">
  <dimension ref="A1"/>
  <sheetViews>
    <sheetView workbookViewId="0">
      <selection activeCell="E22" sqref="E22"/>
    </sheetView>
  </sheetViews>
  <sheetFormatPr defaultRowHeight="14.4" x14ac:dyDescent="0.3"/>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5D3945-2BDF-4A12-82A7-190F41A77DC8}">
  <dimension ref="A1"/>
  <sheetViews>
    <sheetView workbookViewId="0"/>
  </sheetViews>
  <sheetFormatPr defaultRowHeight="14.4" x14ac:dyDescent="0.3"/>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87A60D-DBAF-410B-9DD1-9F5423358CF6}">
  <dimension ref="A1:BK190"/>
  <sheetViews>
    <sheetView topLeftCell="N1" workbookViewId="0">
      <selection activeCell="R7" sqref="R7"/>
    </sheetView>
  </sheetViews>
  <sheetFormatPr defaultRowHeight="14.4" x14ac:dyDescent="0.3"/>
  <cols>
    <col min="1" max="1" width="18" style="2" bestFit="1" customWidth="1"/>
    <col min="2" max="2" width="18.109375" style="2" bestFit="1" customWidth="1"/>
    <col min="3" max="3" width="19" style="2" bestFit="1" customWidth="1"/>
    <col min="4" max="4" width="18.88671875" style="2" bestFit="1" customWidth="1"/>
    <col min="5" max="5" width="22.109375" style="2" bestFit="1" customWidth="1"/>
    <col min="6" max="6" width="20.77734375" style="2" bestFit="1" customWidth="1"/>
    <col min="7" max="7" width="20.6640625" style="2" bestFit="1" customWidth="1"/>
    <col min="8" max="8" width="23.88671875" style="2" bestFit="1" customWidth="1"/>
    <col min="9" max="9" width="26" style="2" bestFit="1" customWidth="1"/>
    <col min="10" max="10" width="25.88671875" style="2" bestFit="1" customWidth="1"/>
    <col min="11" max="11" width="29" style="2" bestFit="1" customWidth="1"/>
    <col min="12" max="12" width="19" style="2" bestFit="1" customWidth="1"/>
    <col min="13" max="13" width="18.88671875" style="2" bestFit="1" customWidth="1"/>
    <col min="14" max="14" width="22.109375" style="2" bestFit="1" customWidth="1"/>
    <col min="15" max="15" width="20.77734375" style="2" bestFit="1" customWidth="1"/>
    <col min="16" max="16" width="20.6640625" style="2" bestFit="1" customWidth="1"/>
    <col min="17" max="17" width="23.88671875" style="2" bestFit="1" customWidth="1"/>
    <col min="18" max="18" width="26" style="2" bestFit="1" customWidth="1"/>
    <col min="19" max="19" width="25.88671875" style="2" bestFit="1" customWidth="1"/>
    <col min="20" max="20" width="29" style="2" bestFit="1" customWidth="1"/>
    <col min="21" max="21" width="14.109375" style="2" bestFit="1" customWidth="1"/>
    <col min="22" max="22" width="13.5546875" style="2" bestFit="1" customWidth="1"/>
    <col min="23" max="24" width="14.77734375" style="2" bestFit="1" customWidth="1"/>
    <col min="25" max="25" width="25.44140625" style="2" bestFit="1" customWidth="1"/>
    <col min="26" max="27" width="18.77734375" style="2" bestFit="1" customWidth="1"/>
    <col min="28" max="29" width="20.44140625" style="2" bestFit="1" customWidth="1"/>
    <col min="30" max="31" width="20.77734375" style="2" bestFit="1" customWidth="1"/>
    <col min="32" max="33" width="19.6640625" style="2" bestFit="1" customWidth="1"/>
    <col min="34" max="35" width="18.77734375" style="2" bestFit="1" customWidth="1"/>
    <col min="36" max="37" width="21.6640625" style="2" bestFit="1" customWidth="1"/>
    <col min="38" max="39" width="37.88671875" style="2" bestFit="1" customWidth="1"/>
    <col min="40" max="41" width="16.109375" style="2" bestFit="1" customWidth="1"/>
    <col min="42" max="43" width="24.21875" style="2" bestFit="1" customWidth="1"/>
    <col min="44" max="45" width="30" style="2" bestFit="1" customWidth="1"/>
    <col min="46" max="47" width="30.33203125" style="2" bestFit="1" customWidth="1"/>
    <col min="48" max="49" width="27.33203125" style="2" bestFit="1" customWidth="1"/>
    <col min="50" max="51" width="33.5546875" style="2" bestFit="1" customWidth="1"/>
    <col min="52" max="53" width="40.21875" style="2" bestFit="1" customWidth="1"/>
    <col min="54" max="54" width="18.88671875" style="2" bestFit="1" customWidth="1"/>
    <col min="55" max="56" width="45.44140625" style="2" bestFit="1" customWidth="1"/>
    <col min="57" max="58" width="25" style="2" bestFit="1" customWidth="1"/>
    <col min="59" max="59" width="24.88671875" style="2" bestFit="1" customWidth="1"/>
    <col min="60" max="60" width="15.33203125" style="2" bestFit="1" customWidth="1"/>
    <col min="61" max="61" width="21.44140625" style="2" bestFit="1" customWidth="1"/>
    <col min="62" max="62" width="15.33203125" style="2" bestFit="1" customWidth="1"/>
    <col min="63" max="63" width="23.77734375" style="2" bestFit="1" customWidth="1"/>
    <col min="64" max="16384" width="8.88671875" style="2"/>
  </cols>
  <sheetData>
    <row r="1" spans="1:63" s="1" customFormat="1" x14ac:dyDescent="0.3">
      <c r="A1" s="1" t="s">
        <v>1</v>
      </c>
      <c r="B1" s="1" t="s">
        <v>482</v>
      </c>
      <c r="C1" s="1" t="s">
        <v>483</v>
      </c>
      <c r="D1" s="1" t="s">
        <v>484</v>
      </c>
      <c r="E1" s="1" t="s">
        <v>485</v>
      </c>
      <c r="F1" s="1" t="s">
        <v>486</v>
      </c>
      <c r="G1" s="1" t="s">
        <v>487</v>
      </c>
      <c r="H1" s="1" t="s">
        <v>488</v>
      </c>
      <c r="I1" s="1" t="s">
        <v>545</v>
      </c>
      <c r="J1" s="1" t="s">
        <v>546</v>
      </c>
      <c r="K1" s="1" t="s">
        <v>547</v>
      </c>
      <c r="L1" s="1" t="s">
        <v>491</v>
      </c>
      <c r="M1" s="1" t="s">
        <v>492</v>
      </c>
      <c r="N1" s="1" t="s">
        <v>493</v>
      </c>
      <c r="O1" s="1" t="s">
        <v>494</v>
      </c>
      <c r="P1" s="1" t="s">
        <v>495</v>
      </c>
      <c r="Q1" s="1" t="s">
        <v>496</v>
      </c>
      <c r="R1" s="1" t="s">
        <v>548</v>
      </c>
      <c r="S1" s="1" t="s">
        <v>549</v>
      </c>
      <c r="T1" s="1" t="s">
        <v>550</v>
      </c>
      <c r="U1" s="1" t="s">
        <v>551</v>
      </c>
      <c r="V1" s="1" t="s">
        <v>552</v>
      </c>
      <c r="W1" s="1" t="s">
        <v>489</v>
      </c>
      <c r="X1" s="1" t="s">
        <v>490</v>
      </c>
      <c r="Y1" s="1" t="s">
        <v>464</v>
      </c>
      <c r="Z1" s="1" t="s">
        <v>522</v>
      </c>
      <c r="AA1" s="1" t="s">
        <v>523</v>
      </c>
      <c r="AB1" s="1" t="s">
        <v>443</v>
      </c>
      <c r="AC1" s="1" t="s">
        <v>444</v>
      </c>
      <c r="AD1" s="1" t="s">
        <v>446</v>
      </c>
      <c r="AE1" s="1" t="s">
        <v>447</v>
      </c>
      <c r="AF1" s="1" t="s">
        <v>448</v>
      </c>
      <c r="AG1" s="1" t="s">
        <v>449</v>
      </c>
      <c r="AH1" s="1" t="s">
        <v>450</v>
      </c>
      <c r="AI1" s="1" t="s">
        <v>451</v>
      </c>
      <c r="AJ1" s="1" t="s">
        <v>452</v>
      </c>
      <c r="AK1" s="1" t="s">
        <v>453</v>
      </c>
      <c r="AL1" s="1" t="s">
        <v>454</v>
      </c>
      <c r="AM1" s="1" t="s">
        <v>455</v>
      </c>
      <c r="AN1" s="1" t="s">
        <v>456</v>
      </c>
      <c r="AO1" s="1" t="s">
        <v>457</v>
      </c>
      <c r="AP1" s="1" t="s">
        <v>458</v>
      </c>
      <c r="AQ1" s="1" t="s">
        <v>459</v>
      </c>
      <c r="AR1" s="1" t="s">
        <v>460</v>
      </c>
      <c r="AS1" s="1" t="s">
        <v>461</v>
      </c>
      <c r="AT1" s="1" t="s">
        <v>462</v>
      </c>
      <c r="AU1" s="1" t="s">
        <v>463</v>
      </c>
      <c r="AV1" s="1" t="s">
        <v>497</v>
      </c>
      <c r="AW1" s="1" t="s">
        <v>498</v>
      </c>
      <c r="AX1" s="1" t="s">
        <v>499</v>
      </c>
      <c r="AY1" s="1" t="s">
        <v>500</v>
      </c>
      <c r="AZ1" s="1" t="s">
        <v>506</v>
      </c>
      <c r="BA1" s="1" t="s">
        <v>507</v>
      </c>
      <c r="BB1" s="1" t="s">
        <v>508</v>
      </c>
      <c r="BC1" s="1" t="s">
        <v>509</v>
      </c>
      <c r="BD1" s="1" t="s">
        <v>510</v>
      </c>
      <c r="BE1" s="1" t="s">
        <v>520</v>
      </c>
      <c r="BF1" s="1" t="s">
        <v>521</v>
      </c>
      <c r="BG1" s="1" t="s">
        <v>505</v>
      </c>
      <c r="BH1" s="1" t="s">
        <v>502</v>
      </c>
      <c r="BI1" s="1" t="s">
        <v>501</v>
      </c>
      <c r="BJ1" s="1" t="s">
        <v>468</v>
      </c>
      <c r="BK1" s="1" t="s">
        <v>469</v>
      </c>
    </row>
    <row r="2" spans="1:63" x14ac:dyDescent="0.3">
      <c r="A2" s="2" t="str">
        <f>'Nation Wise Summary'!A2</f>
        <v>India</v>
      </c>
      <c r="B2" s="2" t="str">
        <f>'Nation Wise Summary'!D2</f>
        <v>Federal Parliamentary Democratic Republic</v>
      </c>
    </row>
    <row r="3" spans="1:63" x14ac:dyDescent="0.3">
      <c r="A3" s="2" t="str">
        <f>'Nation Wise Summary'!A3</f>
        <v>China</v>
      </c>
      <c r="B3" s="2" t="str">
        <f>'Nation Wise Summary'!D3</f>
        <v>Unitary Socialist One-Party Republic</v>
      </c>
    </row>
    <row r="4" spans="1:63" x14ac:dyDescent="0.3">
      <c r="A4" s="2" t="str">
        <f>'Nation Wise Summary'!A4</f>
        <v>United States</v>
      </c>
      <c r="B4" s="2" t="str">
        <f>'Nation Wise Summary'!D4</f>
        <v>Federal Constitutional Republic and Representative Democracy</v>
      </c>
    </row>
    <row r="5" spans="1:63" x14ac:dyDescent="0.3">
      <c r="A5" s="2" t="str">
        <f>'Nation Wise Summary'!A5</f>
        <v>Indonesia</v>
      </c>
      <c r="B5" s="2" t="str">
        <f>'Nation Wise Summary'!D5</f>
        <v>Unitary Presidential Constitutional Republic</v>
      </c>
    </row>
    <row r="6" spans="1:63" x14ac:dyDescent="0.3">
      <c r="A6" s="2" t="str">
        <f>'Nation Wise Summary'!A6</f>
        <v>Pakistan</v>
      </c>
      <c r="B6" s="2" t="str">
        <f>'Nation Wise Summary'!D6</f>
        <v>Federal Parliamentary Republic</v>
      </c>
    </row>
    <row r="7" spans="1:63" x14ac:dyDescent="0.3">
      <c r="A7" s="2" t="str">
        <f>'Nation Wise Summary'!A7</f>
        <v>Nigeria</v>
      </c>
      <c r="B7" s="2" t="str">
        <f>'Nation Wise Summary'!D7</f>
        <v>Federal Parliamentary Republic</v>
      </c>
    </row>
    <row r="8" spans="1:63" x14ac:dyDescent="0.3">
      <c r="A8" s="2" t="str">
        <f>'Nation Wise Summary'!A8</f>
        <v>Brazil</v>
      </c>
      <c r="B8" s="2" t="str">
        <f>'Nation Wise Summary'!D8</f>
        <v>Federal Constitutional Republic and Representative Democracy</v>
      </c>
    </row>
    <row r="9" spans="1:63" x14ac:dyDescent="0.3">
      <c r="A9" s="2" t="str">
        <f>'Nation Wise Summary'!A9</f>
        <v>Bangladesh</v>
      </c>
      <c r="B9" s="2" t="str">
        <f>'Nation Wise Summary'!D9</f>
        <v>Unitary Parliamentary Representative Democratic Republic</v>
      </c>
    </row>
    <row r="10" spans="1:63" x14ac:dyDescent="0.3">
      <c r="A10" s="2" t="str">
        <f>'Nation Wise Summary'!A10</f>
        <v>Russia</v>
      </c>
      <c r="B10" s="2" t="str">
        <f>'Nation Wise Summary'!D10</f>
        <v>Federal Semi-Presidential Republic</v>
      </c>
    </row>
    <row r="11" spans="1:63" x14ac:dyDescent="0.3">
      <c r="A11" s="2" t="str">
        <f>'Nation Wise Summary'!A11</f>
        <v>Ethiopia</v>
      </c>
      <c r="B11" s="2" t="str">
        <f>'Nation Wise Summary'!D11</f>
        <v>Federal Parliamentary Republic</v>
      </c>
    </row>
    <row r="12" spans="1:63" x14ac:dyDescent="0.3">
      <c r="A12" s="2" t="str">
        <f>'Nation Wise Summary'!A12</f>
        <v>Mexico</v>
      </c>
      <c r="B12" s="2" t="str">
        <f>'Nation Wise Summary'!D12</f>
        <v>Federal Presidential Representative Democratic Republic</v>
      </c>
    </row>
    <row r="13" spans="1:63" x14ac:dyDescent="0.3">
      <c r="A13" s="2" t="str">
        <f>'Nation Wise Summary'!A13</f>
        <v>Japan</v>
      </c>
      <c r="B13" s="2" t="str">
        <f>'Nation Wise Summary'!D13</f>
        <v>Unitary Constitutional Monarchy with a Parliamentary Democracy</v>
      </c>
    </row>
    <row r="14" spans="1:63" x14ac:dyDescent="0.3">
      <c r="A14" s="2" t="str">
        <f>'Nation Wise Summary'!A14</f>
        <v>Egypt</v>
      </c>
      <c r="B14" s="2" t="str">
        <f>'Nation Wise Summary'!D14</f>
        <v>Unitary Semi-Presidential Republic</v>
      </c>
    </row>
    <row r="15" spans="1:63" x14ac:dyDescent="0.3">
      <c r="A15" s="2" t="str">
        <f>'Nation Wise Summary'!A15</f>
        <v>Phillipines</v>
      </c>
      <c r="B15" s="2">
        <f>'Nation Wise Summary'!D15</f>
        <v>0</v>
      </c>
    </row>
    <row r="16" spans="1:63" x14ac:dyDescent="0.3">
      <c r="A16" s="2" t="str">
        <f>'Nation Wise Summary'!A16</f>
        <v>DR Congo</v>
      </c>
      <c r="B16" s="2">
        <f>'Nation Wise Summary'!D16</f>
        <v>0</v>
      </c>
    </row>
    <row r="17" spans="1:2" x14ac:dyDescent="0.3">
      <c r="A17" s="2" t="str">
        <f>'Nation Wise Summary'!A17</f>
        <v>Vietnam</v>
      </c>
      <c r="B17" s="2">
        <f>'Nation Wise Summary'!D17</f>
        <v>0</v>
      </c>
    </row>
    <row r="18" spans="1:2" x14ac:dyDescent="0.3">
      <c r="A18" s="2" t="str">
        <f>'Nation Wise Summary'!A18</f>
        <v>Iran</v>
      </c>
      <c r="B18" s="2">
        <f>'Nation Wise Summary'!D18</f>
        <v>0</v>
      </c>
    </row>
    <row r="19" spans="1:2" x14ac:dyDescent="0.3">
      <c r="A19" s="2" t="str">
        <f>'Nation Wise Summary'!A19</f>
        <v>Turkey</v>
      </c>
      <c r="B19" s="2">
        <f>'Nation Wise Summary'!D19</f>
        <v>0</v>
      </c>
    </row>
    <row r="20" spans="1:2" x14ac:dyDescent="0.3">
      <c r="A20" s="2" t="str">
        <f>'Nation Wise Summary'!A20</f>
        <v>Germany</v>
      </c>
      <c r="B20" s="2">
        <f>'Nation Wise Summary'!D20</f>
        <v>0</v>
      </c>
    </row>
    <row r="21" spans="1:2" x14ac:dyDescent="0.3">
      <c r="A21" s="2" t="str">
        <f>'Nation Wise Summary'!A21</f>
        <v>Tanzania</v>
      </c>
      <c r="B21" s="2">
        <f>'Nation Wise Summary'!D21</f>
        <v>0</v>
      </c>
    </row>
    <row r="22" spans="1:2" x14ac:dyDescent="0.3">
      <c r="A22" s="2" t="str">
        <f>'Nation Wise Summary'!A22</f>
        <v>Thailand</v>
      </c>
      <c r="B22" s="2">
        <f>'Nation Wise Summary'!D22</f>
        <v>0</v>
      </c>
    </row>
    <row r="23" spans="1:2" x14ac:dyDescent="0.3">
      <c r="A23" s="2" t="str">
        <f>'Nation Wise Summary'!A23</f>
        <v>United Kingdom</v>
      </c>
      <c r="B23" s="2">
        <f>'Nation Wise Summary'!D23</f>
        <v>0</v>
      </c>
    </row>
    <row r="24" spans="1:2" x14ac:dyDescent="0.3">
      <c r="A24" s="2" t="str">
        <f>'Nation Wise Summary'!A24</f>
        <v>France</v>
      </c>
      <c r="B24" s="2">
        <f>'Nation Wise Summary'!D24</f>
        <v>0</v>
      </c>
    </row>
    <row r="25" spans="1:2" x14ac:dyDescent="0.3">
      <c r="A25" s="2" t="str">
        <f>'Nation Wise Summary'!A25</f>
        <v>South Africa</v>
      </c>
      <c r="B25" s="2">
        <f>'Nation Wise Summary'!D25</f>
        <v>0</v>
      </c>
    </row>
    <row r="26" spans="1:2" x14ac:dyDescent="0.3">
      <c r="A26" s="2" t="str">
        <f>'Nation Wise Summary'!A26</f>
        <v>Italy</v>
      </c>
      <c r="B26" s="2">
        <f>'Nation Wise Summary'!D26</f>
        <v>0</v>
      </c>
    </row>
    <row r="27" spans="1:2" x14ac:dyDescent="0.3">
      <c r="A27" s="2" t="str">
        <f>'Nation Wise Summary'!A27</f>
        <v>Kenya</v>
      </c>
      <c r="B27" s="2">
        <f>'Nation Wise Summary'!D27</f>
        <v>0</v>
      </c>
    </row>
    <row r="28" spans="1:2" x14ac:dyDescent="0.3">
      <c r="A28" s="2" t="str">
        <f>'Nation Wise Summary'!A28</f>
        <v>Myanmar</v>
      </c>
      <c r="B28" s="2">
        <f>'Nation Wise Summary'!D28</f>
        <v>0</v>
      </c>
    </row>
    <row r="29" spans="1:2" x14ac:dyDescent="0.3">
      <c r="A29" s="2" t="str">
        <f>'Nation Wise Summary'!A29</f>
        <v>Colombia</v>
      </c>
      <c r="B29" s="2">
        <f>'Nation Wise Summary'!D29</f>
        <v>0</v>
      </c>
    </row>
    <row r="30" spans="1:2" x14ac:dyDescent="0.3">
      <c r="A30" s="2" t="str">
        <f>'Nation Wise Summary'!A30</f>
        <v>Sudan</v>
      </c>
      <c r="B30" s="2">
        <f>'Nation Wise Summary'!D30</f>
        <v>0</v>
      </c>
    </row>
    <row r="31" spans="1:2" x14ac:dyDescent="0.3">
      <c r="A31" s="2" t="str">
        <f>'Nation Wise Summary'!A31</f>
        <v>Uganda</v>
      </c>
      <c r="B31" s="2">
        <f>'Nation Wise Summary'!D31</f>
        <v>0</v>
      </c>
    </row>
    <row r="32" spans="1:2" x14ac:dyDescent="0.3">
      <c r="A32" s="2" t="str">
        <f>'Nation Wise Summary'!A32</f>
        <v>South Korea</v>
      </c>
      <c r="B32" s="2">
        <f>'Nation Wise Summary'!D32</f>
        <v>0</v>
      </c>
    </row>
    <row r="33" spans="1:2" x14ac:dyDescent="0.3">
      <c r="A33" s="2" t="str">
        <f>'Nation Wise Summary'!A33</f>
        <v>Algeria</v>
      </c>
      <c r="B33" s="2">
        <f>'Nation Wise Summary'!D33</f>
        <v>0</v>
      </c>
    </row>
    <row r="34" spans="1:2" x14ac:dyDescent="0.3">
      <c r="A34" s="2" t="str">
        <f>'Nation Wise Summary'!A34</f>
        <v>Iraq</v>
      </c>
      <c r="B34" s="2">
        <f>'Nation Wise Summary'!D34</f>
        <v>0</v>
      </c>
    </row>
    <row r="35" spans="1:2" x14ac:dyDescent="0.3">
      <c r="A35" s="2" t="str">
        <f>'Nation Wise Summary'!A35</f>
        <v>Spain</v>
      </c>
      <c r="B35" s="2">
        <f>'Nation Wise Summary'!D35</f>
        <v>0</v>
      </c>
    </row>
    <row r="36" spans="1:2" x14ac:dyDescent="0.3">
      <c r="A36" s="2" t="str">
        <f>'Nation Wise Summary'!A36</f>
        <v>Argentina</v>
      </c>
      <c r="B36" s="2">
        <f>'Nation Wise Summary'!D36</f>
        <v>0</v>
      </c>
    </row>
    <row r="37" spans="1:2" x14ac:dyDescent="0.3">
      <c r="A37" s="2" t="str">
        <f>'Nation Wise Summary'!A37</f>
        <v>Afghanistan</v>
      </c>
      <c r="B37" s="2">
        <f>'Nation Wise Summary'!D37</f>
        <v>0</v>
      </c>
    </row>
    <row r="38" spans="1:2" x14ac:dyDescent="0.3">
      <c r="A38" s="2" t="str">
        <f>'Nation Wise Summary'!A38</f>
        <v>Yemen</v>
      </c>
      <c r="B38" s="2">
        <f>'Nation Wise Summary'!D38</f>
        <v>0</v>
      </c>
    </row>
    <row r="39" spans="1:2" x14ac:dyDescent="0.3">
      <c r="A39" s="2" t="str">
        <f>'Nation Wise Summary'!A39</f>
        <v>Canada</v>
      </c>
      <c r="B39" s="2">
        <f>'Nation Wise Summary'!D39</f>
        <v>0</v>
      </c>
    </row>
    <row r="40" spans="1:2" x14ac:dyDescent="0.3">
      <c r="A40" s="2" t="str">
        <f>'Nation Wise Summary'!A40</f>
        <v>Angola</v>
      </c>
      <c r="B40" s="2">
        <f>'Nation Wise Summary'!D40</f>
        <v>0</v>
      </c>
    </row>
    <row r="41" spans="1:2" x14ac:dyDescent="0.3">
      <c r="A41" s="2" t="str">
        <f>'Nation Wise Summary'!A41</f>
        <v>Ukraine</v>
      </c>
      <c r="B41" s="2">
        <f>'Nation Wise Summary'!D41</f>
        <v>0</v>
      </c>
    </row>
    <row r="42" spans="1:2" x14ac:dyDescent="0.3">
      <c r="A42" s="2" t="str">
        <f>'Nation Wise Summary'!A42</f>
        <v>Morocco</v>
      </c>
      <c r="B42" s="2">
        <f>'Nation Wise Summary'!D42</f>
        <v>0</v>
      </c>
    </row>
    <row r="43" spans="1:2" x14ac:dyDescent="0.3">
      <c r="A43" s="2" t="str">
        <f>'Nation Wise Summary'!A43</f>
        <v>Poland</v>
      </c>
      <c r="B43" s="2">
        <f>'Nation Wise Summary'!D43</f>
        <v>0</v>
      </c>
    </row>
    <row r="44" spans="1:2" x14ac:dyDescent="0.3">
      <c r="A44" s="2" t="str">
        <f>'Nation Wise Summary'!A44</f>
        <v>Uzbekistan</v>
      </c>
      <c r="B44" s="2">
        <f>'Nation Wise Summary'!D44</f>
        <v>0</v>
      </c>
    </row>
    <row r="45" spans="1:2" x14ac:dyDescent="0.3">
      <c r="A45" s="2" t="str">
        <f>'Nation Wise Summary'!A45</f>
        <v>Mozambique</v>
      </c>
      <c r="B45" s="2">
        <f>'Nation Wise Summary'!D45</f>
        <v>0</v>
      </c>
    </row>
    <row r="46" spans="1:2" x14ac:dyDescent="0.3">
      <c r="A46" s="2" t="str">
        <f>'Nation Wise Summary'!A46</f>
        <v>Malaysia</v>
      </c>
      <c r="B46" s="2">
        <f>'Nation Wise Summary'!D46</f>
        <v>0</v>
      </c>
    </row>
    <row r="47" spans="1:2" x14ac:dyDescent="0.3">
      <c r="A47" s="2" t="str">
        <f>'Nation Wise Summary'!A47</f>
        <v>Ghana</v>
      </c>
      <c r="B47" s="2">
        <f>'Nation Wise Summary'!D47</f>
        <v>0</v>
      </c>
    </row>
    <row r="48" spans="1:2" x14ac:dyDescent="0.3">
      <c r="A48" s="2" t="str">
        <f>'Nation Wise Summary'!A48</f>
        <v>Saudi Arabia</v>
      </c>
      <c r="B48" s="2">
        <f>'Nation Wise Summary'!D48</f>
        <v>0</v>
      </c>
    </row>
    <row r="49" spans="1:2" x14ac:dyDescent="0.3">
      <c r="A49" s="2" t="str">
        <f>'Nation Wise Summary'!A49</f>
        <v>Peru</v>
      </c>
      <c r="B49" s="2">
        <f>'Nation Wise Summary'!D49</f>
        <v>0</v>
      </c>
    </row>
    <row r="50" spans="1:2" x14ac:dyDescent="0.3">
      <c r="A50" s="2" t="str">
        <f>'Nation Wise Summary'!A50</f>
        <v>Madagascar</v>
      </c>
      <c r="B50" s="2">
        <f>'Nation Wise Summary'!D50</f>
        <v>0</v>
      </c>
    </row>
    <row r="51" spans="1:2" x14ac:dyDescent="0.3">
      <c r="A51" s="2" t="str">
        <f>'Nation Wise Summary'!A51</f>
        <v>Cote d Ivoire</v>
      </c>
      <c r="B51" s="2">
        <f>'Nation Wise Summary'!D51</f>
        <v>0</v>
      </c>
    </row>
    <row r="52" spans="1:2" x14ac:dyDescent="0.3">
      <c r="A52" s="2" t="str">
        <f>'Nation Wise Summary'!A52</f>
        <v>Cameroon</v>
      </c>
      <c r="B52" s="2">
        <f>'Nation Wise Summary'!D52</f>
        <v>0</v>
      </c>
    </row>
    <row r="53" spans="1:2" x14ac:dyDescent="0.3">
      <c r="A53" s="2" t="str">
        <f>'Nation Wise Summary'!A53</f>
        <v>Nepal</v>
      </c>
      <c r="B53" s="2">
        <f>'Nation Wise Summary'!D53</f>
        <v>0</v>
      </c>
    </row>
    <row r="54" spans="1:2" x14ac:dyDescent="0.3">
      <c r="A54" s="2" t="str">
        <f>'Nation Wise Summary'!A54</f>
        <v>Niger</v>
      </c>
      <c r="B54" s="2">
        <f>'Nation Wise Summary'!D54</f>
        <v>0</v>
      </c>
    </row>
    <row r="55" spans="1:2" x14ac:dyDescent="0.3">
      <c r="A55" s="2" t="str">
        <f>'Nation Wise Summary'!A55</f>
        <v>Venezuela</v>
      </c>
      <c r="B55" s="2">
        <f>'Nation Wise Summary'!D55</f>
        <v>0</v>
      </c>
    </row>
    <row r="56" spans="1:2" x14ac:dyDescent="0.3">
      <c r="A56" s="2" t="str">
        <f>'Nation Wise Summary'!A56</f>
        <v>Australia</v>
      </c>
      <c r="B56" s="2">
        <f>'Nation Wise Summary'!D56</f>
        <v>0</v>
      </c>
    </row>
    <row r="57" spans="1:2" x14ac:dyDescent="0.3">
      <c r="A57" s="2" t="str">
        <f>'Nation Wise Summary'!A57</f>
        <v>North Korea</v>
      </c>
      <c r="B57" s="2">
        <f>'Nation Wise Summary'!D57</f>
        <v>0</v>
      </c>
    </row>
    <row r="58" spans="1:2" x14ac:dyDescent="0.3">
      <c r="A58" s="2" t="str">
        <f>'Nation Wise Summary'!A58</f>
        <v>Syria</v>
      </c>
      <c r="B58" s="2">
        <f>'Nation Wise Summary'!D58</f>
        <v>0</v>
      </c>
    </row>
    <row r="59" spans="1:2" x14ac:dyDescent="0.3">
      <c r="A59" s="2" t="str">
        <f>'Nation Wise Summary'!A59</f>
        <v>Mali</v>
      </c>
      <c r="B59" s="2">
        <f>'Nation Wise Summary'!D59</f>
        <v>0</v>
      </c>
    </row>
    <row r="60" spans="1:2" x14ac:dyDescent="0.3">
      <c r="A60" s="2" t="str">
        <f>'Nation Wise Summary'!A60</f>
        <v>Burkina Faso</v>
      </c>
      <c r="B60" s="2">
        <f>'Nation Wise Summary'!D60</f>
        <v>0</v>
      </c>
    </row>
    <row r="61" spans="1:2" x14ac:dyDescent="0.3">
      <c r="A61" s="2" t="str">
        <f>'Nation Wise Summary'!A61</f>
        <v>Sri Lanka</v>
      </c>
      <c r="B61" s="2">
        <f>'Nation Wise Summary'!D61</f>
        <v>0</v>
      </c>
    </row>
    <row r="62" spans="1:2" x14ac:dyDescent="0.3">
      <c r="A62" s="2" t="str">
        <f>'Nation Wise Summary'!A62</f>
        <v>Malawi</v>
      </c>
      <c r="B62" s="2">
        <f>'Nation Wise Summary'!D62</f>
        <v>0</v>
      </c>
    </row>
    <row r="63" spans="1:2" x14ac:dyDescent="0.3">
      <c r="A63" s="2" t="str">
        <f>'Nation Wise Summary'!A63</f>
        <v>Zambia</v>
      </c>
      <c r="B63" s="2">
        <f>'Nation Wise Summary'!D63</f>
        <v>0</v>
      </c>
    </row>
    <row r="64" spans="1:2" x14ac:dyDescent="0.3">
      <c r="A64" s="2" t="str">
        <f>'Nation Wise Summary'!A64</f>
        <v>Chad</v>
      </c>
      <c r="B64" s="2">
        <f>'Nation Wise Summary'!D64</f>
        <v>0</v>
      </c>
    </row>
    <row r="65" spans="1:2" x14ac:dyDescent="0.3">
      <c r="A65" s="2" t="str">
        <f>'Nation Wise Summary'!A65</f>
        <v>Kazakhstan</v>
      </c>
      <c r="B65" s="2">
        <f>'Nation Wise Summary'!D65</f>
        <v>0</v>
      </c>
    </row>
    <row r="66" spans="1:2" x14ac:dyDescent="0.3">
      <c r="A66" s="2" t="str">
        <f>'Nation Wise Summary'!A66</f>
        <v>Somalia</v>
      </c>
      <c r="B66" s="2">
        <f>'Nation Wise Summary'!D66</f>
        <v>0</v>
      </c>
    </row>
    <row r="67" spans="1:2" x14ac:dyDescent="0.3">
      <c r="A67" s="2" t="str">
        <f>'Nation Wise Summary'!A67</f>
        <v>Chile</v>
      </c>
      <c r="B67" s="2">
        <f>'Nation Wise Summary'!D67</f>
        <v>0</v>
      </c>
    </row>
    <row r="68" spans="1:2" x14ac:dyDescent="0.3">
      <c r="A68" s="2" t="str">
        <f>'Nation Wise Summary'!A68</f>
        <v>Senegal</v>
      </c>
      <c r="B68" s="2">
        <f>'Nation Wise Summary'!D68</f>
        <v>0</v>
      </c>
    </row>
    <row r="69" spans="1:2" x14ac:dyDescent="0.3">
      <c r="A69" s="2" t="str">
        <f>'Nation Wise Summary'!A69</f>
        <v>Guatemala</v>
      </c>
      <c r="B69" s="2">
        <f>'Nation Wise Summary'!D69</f>
        <v>0</v>
      </c>
    </row>
    <row r="70" spans="1:2" x14ac:dyDescent="0.3">
      <c r="A70" s="2" t="str">
        <f>'Nation Wise Summary'!A70</f>
        <v>Romania</v>
      </c>
      <c r="B70" s="2">
        <f>'Nation Wise Summary'!D70</f>
        <v>0</v>
      </c>
    </row>
    <row r="71" spans="1:2" x14ac:dyDescent="0.3">
      <c r="A71" s="2" t="str">
        <f>'Nation Wise Summary'!A71</f>
        <v>Netherlands</v>
      </c>
      <c r="B71" s="2">
        <f>'Nation Wise Summary'!D71</f>
        <v>0</v>
      </c>
    </row>
    <row r="72" spans="1:2" x14ac:dyDescent="0.3">
      <c r="A72" s="2" t="str">
        <f>'Nation Wise Summary'!A72</f>
        <v>Ecuador</v>
      </c>
      <c r="B72" s="2">
        <f>'Nation Wise Summary'!D72</f>
        <v>0</v>
      </c>
    </row>
    <row r="73" spans="1:2" x14ac:dyDescent="0.3">
      <c r="A73" s="2" t="str">
        <f>'Nation Wise Summary'!A73</f>
        <v>Cambodia</v>
      </c>
      <c r="B73" s="2">
        <f>'Nation Wise Summary'!D73</f>
        <v>0</v>
      </c>
    </row>
    <row r="74" spans="1:2" x14ac:dyDescent="0.3">
      <c r="A74" s="2" t="str">
        <f>'Nation Wise Summary'!A74</f>
        <v>Zimbabwe</v>
      </c>
      <c r="B74" s="2">
        <f>'Nation Wise Summary'!D74</f>
        <v>0</v>
      </c>
    </row>
    <row r="75" spans="1:2" x14ac:dyDescent="0.3">
      <c r="A75" s="2" t="str">
        <f>'Nation Wise Summary'!A75</f>
        <v>Guinea</v>
      </c>
      <c r="B75" s="2">
        <f>'Nation Wise Summary'!D75</f>
        <v>0</v>
      </c>
    </row>
    <row r="76" spans="1:2" x14ac:dyDescent="0.3">
      <c r="A76" s="2" t="str">
        <f>'Nation Wise Summary'!A76</f>
        <v>Benin</v>
      </c>
      <c r="B76" s="2">
        <f>'Nation Wise Summary'!D76</f>
        <v>0</v>
      </c>
    </row>
    <row r="77" spans="1:2" x14ac:dyDescent="0.3">
      <c r="A77" s="2" t="str">
        <f>'Nation Wise Summary'!A77</f>
        <v>Rwanda</v>
      </c>
      <c r="B77" s="2">
        <f>'Nation Wise Summary'!D77</f>
        <v>0</v>
      </c>
    </row>
    <row r="78" spans="1:2" x14ac:dyDescent="0.3">
      <c r="A78" s="2" t="str">
        <f>'Nation Wise Summary'!A78</f>
        <v>Burundi</v>
      </c>
      <c r="B78" s="2">
        <f>'Nation Wise Summary'!D78</f>
        <v>0</v>
      </c>
    </row>
    <row r="79" spans="1:2" x14ac:dyDescent="0.3">
      <c r="A79" s="2" t="str">
        <f>'Nation Wise Summary'!A79</f>
        <v>Bolivia</v>
      </c>
      <c r="B79" s="2">
        <f>'Nation Wise Summary'!D79</f>
        <v>0</v>
      </c>
    </row>
    <row r="80" spans="1:2" x14ac:dyDescent="0.3">
      <c r="A80" s="2" t="str">
        <f>'Nation Wise Summary'!A80</f>
        <v>South Sudan</v>
      </c>
      <c r="B80" s="2">
        <f>'Nation Wise Summary'!D80</f>
        <v>0</v>
      </c>
    </row>
    <row r="81" spans="1:2" x14ac:dyDescent="0.3">
      <c r="A81" s="2" t="str">
        <f>'Nation Wise Summary'!A81</f>
        <v>Tunisia</v>
      </c>
      <c r="B81" s="2">
        <f>'Nation Wise Summary'!D81</f>
        <v>0</v>
      </c>
    </row>
    <row r="82" spans="1:2" x14ac:dyDescent="0.3">
      <c r="A82" s="2" t="str">
        <f>'Nation Wise Summary'!A82</f>
        <v>Belgium</v>
      </c>
      <c r="B82" s="2">
        <f>'Nation Wise Summary'!D82</f>
        <v>0</v>
      </c>
    </row>
    <row r="83" spans="1:2" x14ac:dyDescent="0.3">
      <c r="A83" s="2" t="str">
        <f>'Nation Wise Summary'!A83</f>
        <v>Dominican Republic</v>
      </c>
      <c r="B83" s="2">
        <f>'Nation Wise Summary'!D83</f>
        <v>0</v>
      </c>
    </row>
    <row r="84" spans="1:2" x14ac:dyDescent="0.3">
      <c r="A84" s="2" t="str">
        <f>'Nation Wise Summary'!A84</f>
        <v>Jordan</v>
      </c>
      <c r="B84" s="2">
        <f>'Nation Wise Summary'!D84</f>
        <v>0</v>
      </c>
    </row>
    <row r="85" spans="1:2" x14ac:dyDescent="0.3">
      <c r="A85" s="2" t="str">
        <f>'Nation Wise Summary'!A85</f>
        <v>United Arab Emirates</v>
      </c>
      <c r="B85" s="2">
        <f>'Nation Wise Summary'!D85</f>
        <v>0</v>
      </c>
    </row>
    <row r="86" spans="1:2" x14ac:dyDescent="0.3">
      <c r="A86" s="2" t="str">
        <f>'Nation Wise Summary'!A86</f>
        <v>Honduras</v>
      </c>
      <c r="B86" s="2">
        <f>'Nation Wise Summary'!D86</f>
        <v>0</v>
      </c>
    </row>
    <row r="87" spans="1:2" x14ac:dyDescent="0.3">
      <c r="A87" s="2" t="str">
        <f>'Nation Wise Summary'!A87</f>
        <v>Tajikistan</v>
      </c>
      <c r="B87" s="2">
        <f>'Nation Wise Summary'!D87</f>
        <v>0</v>
      </c>
    </row>
    <row r="88" spans="1:2" x14ac:dyDescent="0.3">
      <c r="A88" s="2" t="str">
        <f>'Nation Wise Summary'!A88</f>
        <v>Papua New Guinea</v>
      </c>
      <c r="B88" s="2">
        <f>'Nation Wise Summary'!D88</f>
        <v>0</v>
      </c>
    </row>
    <row r="89" spans="1:2" x14ac:dyDescent="0.3">
      <c r="A89" s="2" t="str">
        <f>'Nation Wise Summary'!A89</f>
        <v>Cuba</v>
      </c>
      <c r="B89" s="2">
        <f>'Nation Wise Summary'!D89</f>
        <v>0</v>
      </c>
    </row>
    <row r="90" spans="1:2" x14ac:dyDescent="0.3">
      <c r="A90" s="2" t="str">
        <f>'Nation Wise Summary'!A90</f>
        <v>Sweden</v>
      </c>
      <c r="B90" s="2">
        <f>'Nation Wise Summary'!D90</f>
        <v>0</v>
      </c>
    </row>
    <row r="91" spans="1:2" x14ac:dyDescent="0.3">
      <c r="A91" s="2" t="str">
        <f>'Nation Wise Summary'!A91</f>
        <v>Czech Republic</v>
      </c>
      <c r="B91" s="2">
        <f>'Nation Wise Summary'!D91</f>
        <v>0</v>
      </c>
    </row>
    <row r="92" spans="1:2" x14ac:dyDescent="0.3">
      <c r="A92" s="2" t="str">
        <f>'Nation Wise Summary'!A92</f>
        <v>Azerbaijan</v>
      </c>
      <c r="B92" s="2">
        <f>'Nation Wise Summary'!D92</f>
        <v>0</v>
      </c>
    </row>
    <row r="93" spans="1:2" x14ac:dyDescent="0.3">
      <c r="A93" s="2" t="str">
        <f>'Nation Wise Summary'!A93</f>
        <v>Portugal</v>
      </c>
      <c r="B93" s="2">
        <f>'Nation Wise Summary'!D93</f>
        <v>0</v>
      </c>
    </row>
    <row r="94" spans="1:2" x14ac:dyDescent="0.3">
      <c r="A94" s="2" t="str">
        <f>'Nation Wise Summary'!A94</f>
        <v>Togo</v>
      </c>
      <c r="B94" s="2">
        <f>'Nation Wise Summary'!D94</f>
        <v>0</v>
      </c>
    </row>
    <row r="95" spans="1:2" x14ac:dyDescent="0.3">
      <c r="A95" s="2" t="str">
        <f>'Nation Wise Summary'!A95</f>
        <v>Greece</v>
      </c>
      <c r="B95" s="2">
        <f>'Nation Wise Summary'!D95</f>
        <v>0</v>
      </c>
    </row>
    <row r="96" spans="1:2" x14ac:dyDescent="0.3">
      <c r="A96" s="2" t="str">
        <f>'Nation Wise Summary'!A96</f>
        <v>Israel</v>
      </c>
      <c r="B96" s="2">
        <f>'Nation Wise Summary'!D96</f>
        <v>0</v>
      </c>
    </row>
    <row r="97" spans="1:2" x14ac:dyDescent="0.3">
      <c r="A97" s="2" t="str">
        <f>'Nation Wise Summary'!A97</f>
        <v>Hungary</v>
      </c>
      <c r="B97" s="2">
        <f>'Nation Wise Summary'!D97</f>
        <v>0</v>
      </c>
    </row>
    <row r="98" spans="1:2" x14ac:dyDescent="0.3">
      <c r="A98" s="2" t="str">
        <f>'Nation Wise Summary'!A98</f>
        <v>Austria</v>
      </c>
      <c r="B98" s="2">
        <f>'Nation Wise Summary'!D98</f>
        <v>0</v>
      </c>
    </row>
    <row r="99" spans="1:2" x14ac:dyDescent="0.3">
      <c r="A99" s="2" t="str">
        <f>'Nation Wise Summary'!A99</f>
        <v>Switzerland</v>
      </c>
      <c r="B99" s="2">
        <f>'Nation Wise Summary'!D99</f>
        <v>0</v>
      </c>
    </row>
    <row r="100" spans="1:2" x14ac:dyDescent="0.3">
      <c r="A100" s="2" t="str">
        <f>'Nation Wise Summary'!A100</f>
        <v>Sierra Leone</v>
      </c>
      <c r="B100" s="2">
        <f>'Nation Wise Summary'!D100</f>
        <v>0</v>
      </c>
    </row>
    <row r="101" spans="1:2" x14ac:dyDescent="0.3">
      <c r="A101" s="2" t="str">
        <f>'Nation Wise Summary'!A101</f>
        <v>Belarus</v>
      </c>
      <c r="B101" s="2">
        <f>'Nation Wise Summary'!D101</f>
        <v>0</v>
      </c>
    </row>
    <row r="102" spans="1:2" x14ac:dyDescent="0.3">
      <c r="A102" s="2" t="str">
        <f>'Nation Wise Summary'!A102</f>
        <v>Laos</v>
      </c>
      <c r="B102" s="2">
        <f>'Nation Wise Summary'!D102</f>
        <v>0</v>
      </c>
    </row>
    <row r="103" spans="1:2" x14ac:dyDescent="0.3">
      <c r="A103" s="2" t="str">
        <f>'Nation Wise Summary'!A103</f>
        <v>Turkmenistan</v>
      </c>
      <c r="B103" s="2">
        <f>'Nation Wise Summary'!D103</f>
        <v>0</v>
      </c>
    </row>
    <row r="104" spans="1:2" x14ac:dyDescent="0.3">
      <c r="A104" s="2" t="str">
        <f>'Nation Wise Summary'!A104</f>
        <v>Libya</v>
      </c>
      <c r="B104" s="2">
        <f>'Nation Wise Summary'!D104</f>
        <v>0</v>
      </c>
    </row>
    <row r="105" spans="1:2" x14ac:dyDescent="0.3">
      <c r="A105" s="2" t="str">
        <f>'Nation Wise Summary'!A105</f>
        <v>Kyrgyzstan</v>
      </c>
      <c r="B105" s="2">
        <f>'Nation Wise Summary'!D105</f>
        <v>0</v>
      </c>
    </row>
    <row r="106" spans="1:2" x14ac:dyDescent="0.3">
      <c r="A106" s="2" t="str">
        <f>'Nation Wise Summary'!A106</f>
        <v>Nicaragua</v>
      </c>
      <c r="B106" s="2">
        <f>'Nation Wise Summary'!D106</f>
        <v>0</v>
      </c>
    </row>
    <row r="107" spans="1:2" x14ac:dyDescent="0.3">
      <c r="A107" s="2" t="str">
        <f>'Nation Wise Summary'!A107</f>
        <v>Paraguay</v>
      </c>
      <c r="B107" s="2">
        <f>'Nation Wise Summary'!D107</f>
        <v>0</v>
      </c>
    </row>
    <row r="108" spans="1:2" x14ac:dyDescent="0.3">
      <c r="A108" s="2" t="str">
        <f>'Nation Wise Summary'!A108</f>
        <v>Bulgaria</v>
      </c>
      <c r="B108" s="2">
        <f>'Nation Wise Summary'!D108</f>
        <v>0</v>
      </c>
    </row>
    <row r="109" spans="1:2" x14ac:dyDescent="0.3">
      <c r="A109" s="2" t="str">
        <f>'Nation Wise Summary'!A109</f>
        <v>Serbia</v>
      </c>
      <c r="B109" s="2">
        <f>'Nation Wise Summary'!D109</f>
        <v>0</v>
      </c>
    </row>
    <row r="110" spans="1:2" x14ac:dyDescent="0.3">
      <c r="A110" s="2" t="str">
        <f>'Nation Wise Summary'!A110</f>
        <v>Congo</v>
      </c>
      <c r="B110" s="2">
        <f>'Nation Wise Summary'!D110</f>
        <v>0</v>
      </c>
    </row>
    <row r="111" spans="1:2" x14ac:dyDescent="0.3">
      <c r="A111" s="2" t="str">
        <f>'Nation Wise Summary'!A111</f>
        <v>El Salvador</v>
      </c>
      <c r="B111" s="2">
        <f>'Nation Wise Summary'!D111</f>
        <v>0</v>
      </c>
    </row>
    <row r="112" spans="1:2" x14ac:dyDescent="0.3">
      <c r="A112" s="2" t="str">
        <f>'Nation Wise Summary'!A112</f>
        <v>Denmark</v>
      </c>
      <c r="B112" s="2">
        <f>'Nation Wise Summary'!D112</f>
        <v>0</v>
      </c>
    </row>
    <row r="113" spans="1:2" x14ac:dyDescent="0.3">
      <c r="A113" s="2" t="str">
        <f>'Nation Wise Summary'!A113</f>
        <v>Singapore</v>
      </c>
      <c r="B113" s="2">
        <f>'Nation Wise Summary'!D113</f>
        <v>0</v>
      </c>
    </row>
    <row r="114" spans="1:2" x14ac:dyDescent="0.3">
      <c r="A114" s="2" t="str">
        <f>'Nation Wise Summary'!A114</f>
        <v>Lebanon</v>
      </c>
      <c r="B114" s="2">
        <f>'Nation Wise Summary'!D114</f>
        <v>0</v>
      </c>
    </row>
    <row r="115" spans="1:2" x14ac:dyDescent="0.3">
      <c r="A115" s="2" t="str">
        <f>'Nation Wise Summary'!A115</f>
        <v>Liberia</v>
      </c>
      <c r="B115" s="2">
        <f>'Nation Wise Summary'!D115</f>
        <v>0</v>
      </c>
    </row>
    <row r="116" spans="1:2" x14ac:dyDescent="0.3">
      <c r="A116" s="2" t="str">
        <f>'Nation Wise Summary'!A116</f>
        <v>Central African Republic</v>
      </c>
      <c r="B116" s="2">
        <f>'Nation Wise Summary'!D116</f>
        <v>0</v>
      </c>
    </row>
    <row r="117" spans="1:2" x14ac:dyDescent="0.3">
      <c r="A117" s="2" t="str">
        <f>'Nation Wise Summary'!A117</f>
        <v>Palestine</v>
      </c>
      <c r="B117" s="2">
        <f>'Nation Wise Summary'!D117</f>
        <v>0</v>
      </c>
    </row>
    <row r="118" spans="1:2" x14ac:dyDescent="0.3">
      <c r="A118" s="2" t="str">
        <f>'Nation Wise Summary'!A118</f>
        <v>Oman</v>
      </c>
      <c r="B118" s="2">
        <f>'Nation Wise Summary'!D118</f>
        <v>0</v>
      </c>
    </row>
    <row r="119" spans="1:2" x14ac:dyDescent="0.3">
      <c r="A119" s="2" t="str">
        <f>'Nation Wise Summary'!A119</f>
        <v>Norway</v>
      </c>
      <c r="B119" s="2">
        <f>'Nation Wise Summary'!D119</f>
        <v>0</v>
      </c>
    </row>
    <row r="120" spans="1:2" x14ac:dyDescent="0.3">
      <c r="A120" s="2" t="str">
        <f>'Nation Wise Summary'!A120</f>
        <v>Finland</v>
      </c>
      <c r="B120" s="2">
        <f>'Nation Wise Summary'!D120</f>
        <v>0</v>
      </c>
    </row>
    <row r="121" spans="1:2" x14ac:dyDescent="0.3">
      <c r="A121" s="2" t="str">
        <f>'Nation Wise Summary'!A121</f>
        <v>Mauritania</v>
      </c>
      <c r="B121" s="2">
        <f>'Nation Wise Summary'!D121</f>
        <v>0</v>
      </c>
    </row>
    <row r="122" spans="1:2" x14ac:dyDescent="0.3">
      <c r="A122" s="2" t="str">
        <f>'Nation Wise Summary'!A122</f>
        <v>Slovakia</v>
      </c>
      <c r="B122" s="2">
        <f>'Nation Wise Summary'!D122</f>
        <v>0</v>
      </c>
    </row>
    <row r="123" spans="1:2" x14ac:dyDescent="0.3">
      <c r="A123" s="2" t="str">
        <f>'Nation Wise Summary'!A123</f>
        <v>Ireland</v>
      </c>
      <c r="B123" s="2">
        <f>'Nation Wise Summary'!D123</f>
        <v>0</v>
      </c>
    </row>
    <row r="124" spans="1:2" x14ac:dyDescent="0.3">
      <c r="A124" s="2" t="str">
        <f>'Nation Wise Summary'!A124</f>
        <v>New Zealand</v>
      </c>
      <c r="B124" s="2">
        <f>'Nation Wise Summary'!D124</f>
        <v>0</v>
      </c>
    </row>
    <row r="125" spans="1:2" x14ac:dyDescent="0.3">
      <c r="A125" s="2" t="str">
        <f>'Nation Wise Summary'!A125</f>
        <v>Costa Rica</v>
      </c>
      <c r="B125" s="2">
        <f>'Nation Wise Summary'!D125</f>
        <v>0</v>
      </c>
    </row>
    <row r="126" spans="1:2" x14ac:dyDescent="0.3">
      <c r="A126" s="2" t="str">
        <f>'Nation Wise Summary'!A126</f>
        <v>Kuwait</v>
      </c>
      <c r="B126" s="2">
        <f>'Nation Wise Summary'!D126</f>
        <v>0</v>
      </c>
    </row>
    <row r="127" spans="1:2" x14ac:dyDescent="0.3">
      <c r="A127" s="2" t="str">
        <f>'Nation Wise Summary'!A127</f>
        <v>Panama</v>
      </c>
      <c r="B127" s="2">
        <f>'Nation Wise Summary'!D127</f>
        <v>0</v>
      </c>
    </row>
    <row r="128" spans="1:2" x14ac:dyDescent="0.3">
      <c r="A128" s="2" t="str">
        <f>'Nation Wise Summary'!A128</f>
        <v>Croatia</v>
      </c>
      <c r="B128" s="2">
        <f>'Nation Wise Summary'!D128</f>
        <v>0</v>
      </c>
    </row>
    <row r="129" spans="1:2" x14ac:dyDescent="0.3">
      <c r="A129" s="2" t="str">
        <f>'Nation Wise Summary'!A129</f>
        <v>Georgia</v>
      </c>
      <c r="B129" s="2">
        <f>'Nation Wise Summary'!D129</f>
        <v>0</v>
      </c>
    </row>
    <row r="130" spans="1:2" x14ac:dyDescent="0.3">
      <c r="A130" s="2" t="str">
        <f>'Nation Wise Summary'!A130</f>
        <v>Eritrea</v>
      </c>
      <c r="B130" s="2">
        <f>'Nation Wise Summary'!D130</f>
        <v>0</v>
      </c>
    </row>
    <row r="131" spans="1:2" x14ac:dyDescent="0.3">
      <c r="A131" s="2" t="str">
        <f>'Nation Wise Summary'!A131</f>
        <v>Mongolia</v>
      </c>
      <c r="B131" s="2">
        <f>'Nation Wise Summary'!D131</f>
        <v>0</v>
      </c>
    </row>
    <row r="132" spans="1:2" x14ac:dyDescent="0.3">
      <c r="A132" s="2" t="str">
        <f>'Nation Wise Summary'!A132</f>
        <v>Uruguay</v>
      </c>
      <c r="B132" s="2">
        <f>'Nation Wise Summary'!D132</f>
        <v>0</v>
      </c>
    </row>
    <row r="133" spans="1:2" x14ac:dyDescent="0.3">
      <c r="A133" s="2" t="str">
        <f>'Nation Wise Summary'!A133</f>
        <v>Qatar</v>
      </c>
      <c r="B133" s="2">
        <f>'Nation Wise Summary'!D133</f>
        <v>0</v>
      </c>
    </row>
    <row r="134" spans="1:2" x14ac:dyDescent="0.3">
      <c r="A134" s="2" t="str">
        <f>'Nation Wise Summary'!A134</f>
        <v>Namibia</v>
      </c>
      <c r="B134" s="2">
        <f>'Nation Wise Summary'!D134</f>
        <v>0</v>
      </c>
    </row>
    <row r="135" spans="1:2" x14ac:dyDescent="0.3">
      <c r="A135" s="2" t="str">
        <f>'Nation Wise Summary'!A135</f>
        <v>Bosnia and Herzegovina</v>
      </c>
      <c r="B135" s="2">
        <f>'Nation Wise Summary'!D135</f>
        <v>0</v>
      </c>
    </row>
    <row r="136" spans="1:2" x14ac:dyDescent="0.3">
      <c r="A136" s="2" t="str">
        <f>'Nation Wise Summary'!A136</f>
        <v>Moldova</v>
      </c>
      <c r="B136" s="2">
        <f>'Nation Wise Summary'!D136</f>
        <v>0</v>
      </c>
    </row>
    <row r="137" spans="1:2" x14ac:dyDescent="0.3">
      <c r="A137" s="2" t="str">
        <f>'Nation Wise Summary'!A137</f>
        <v>Armenia</v>
      </c>
      <c r="B137" s="2">
        <f>'Nation Wise Summary'!D137</f>
        <v>0</v>
      </c>
    </row>
    <row r="138" spans="1:2" x14ac:dyDescent="0.3">
      <c r="A138" s="2" t="str">
        <f>'Nation Wise Summary'!A138</f>
        <v>Gambia</v>
      </c>
      <c r="B138" s="2">
        <f>'Nation Wise Summary'!D138</f>
        <v>0</v>
      </c>
    </row>
    <row r="139" spans="1:2" x14ac:dyDescent="0.3">
      <c r="A139" s="2" t="str">
        <f>'Nation Wise Summary'!A139</f>
        <v>Jamaica</v>
      </c>
      <c r="B139" s="2">
        <f>'Nation Wise Summary'!D139</f>
        <v>0</v>
      </c>
    </row>
    <row r="140" spans="1:2" x14ac:dyDescent="0.3">
      <c r="A140" s="2" t="str">
        <f>'Nation Wise Summary'!A140</f>
        <v>Lithuania</v>
      </c>
      <c r="B140" s="2">
        <f>'Nation Wise Summary'!D140</f>
        <v>0</v>
      </c>
    </row>
    <row r="141" spans="1:2" x14ac:dyDescent="0.3">
      <c r="A141" s="2" t="str">
        <f>'Nation Wise Summary'!A141</f>
        <v>Albania</v>
      </c>
      <c r="B141" s="2">
        <f>'Nation Wise Summary'!D141</f>
        <v>0</v>
      </c>
    </row>
    <row r="142" spans="1:2" x14ac:dyDescent="0.3">
      <c r="A142" s="2" t="str">
        <f>'Nation Wise Summary'!A142</f>
        <v>Gabon</v>
      </c>
      <c r="B142" s="2">
        <f>'Nation Wise Summary'!D142</f>
        <v>0</v>
      </c>
    </row>
    <row r="143" spans="1:2" x14ac:dyDescent="0.3">
      <c r="A143" s="2" t="str">
        <f>'Nation Wise Summary'!A143</f>
        <v>Botswana</v>
      </c>
      <c r="B143" s="2">
        <f>'Nation Wise Summary'!D143</f>
        <v>0</v>
      </c>
    </row>
    <row r="144" spans="1:2" x14ac:dyDescent="0.3">
      <c r="A144" s="2" t="str">
        <f>'Nation Wise Summary'!A144</f>
        <v>Lesotho</v>
      </c>
      <c r="B144" s="2">
        <f>'Nation Wise Summary'!D144</f>
        <v>0</v>
      </c>
    </row>
    <row r="145" spans="1:2" x14ac:dyDescent="0.3">
      <c r="A145" s="2" t="str">
        <f>'Nation Wise Summary'!A145</f>
        <v>Guinea-Bissau</v>
      </c>
      <c r="B145" s="2">
        <f>'Nation Wise Summary'!D145</f>
        <v>0</v>
      </c>
    </row>
    <row r="146" spans="1:2" x14ac:dyDescent="0.3">
      <c r="A146" s="2" t="str">
        <f>'Nation Wise Summary'!A146</f>
        <v>Slovenia</v>
      </c>
      <c r="B146" s="2">
        <f>'Nation Wise Summary'!D146</f>
        <v>0</v>
      </c>
    </row>
    <row r="147" spans="1:2" x14ac:dyDescent="0.3">
      <c r="A147" s="2" t="str">
        <f>'Nation Wise Summary'!A147</f>
        <v>Equatorial Guinea</v>
      </c>
      <c r="B147" s="2">
        <f>'Nation Wise Summary'!D147</f>
        <v>0</v>
      </c>
    </row>
    <row r="148" spans="1:2" x14ac:dyDescent="0.3">
      <c r="A148" s="2" t="str">
        <f>'Nation Wise Summary'!A148</f>
        <v>Latvia</v>
      </c>
      <c r="B148" s="2">
        <f>'Nation Wise Summary'!D148</f>
        <v>0</v>
      </c>
    </row>
    <row r="149" spans="1:2" x14ac:dyDescent="0.3">
      <c r="A149" s="2" t="str">
        <f>'Nation Wise Summary'!A149</f>
        <v>North Macedonia</v>
      </c>
      <c r="B149" s="2">
        <f>'Nation Wise Summary'!D149</f>
        <v>0</v>
      </c>
    </row>
    <row r="150" spans="1:2" x14ac:dyDescent="0.3">
      <c r="A150" s="2" t="str">
        <f>'Nation Wise Summary'!A150</f>
        <v>Bahrain</v>
      </c>
      <c r="B150" s="2">
        <f>'Nation Wise Summary'!D150</f>
        <v>0</v>
      </c>
    </row>
    <row r="151" spans="1:2" x14ac:dyDescent="0.3">
      <c r="A151" s="2" t="str">
        <f>'Nation Wise Summary'!A151</f>
        <v>Trinidad and Tobago</v>
      </c>
      <c r="B151" s="2">
        <f>'Nation Wise Summary'!D151</f>
        <v>0</v>
      </c>
    </row>
    <row r="152" spans="1:2" x14ac:dyDescent="0.3">
      <c r="A152" s="2" t="str">
        <f>'Nation Wise Summary'!A152</f>
        <v>Timor-Leste</v>
      </c>
      <c r="B152" s="2">
        <f>'Nation Wise Summary'!D152</f>
        <v>0</v>
      </c>
    </row>
    <row r="153" spans="1:2" x14ac:dyDescent="0.3">
      <c r="A153" s="2" t="str">
        <f>'Nation Wise Summary'!A153</f>
        <v>Cyprus</v>
      </c>
      <c r="B153" s="2">
        <f>'Nation Wise Summary'!D153</f>
        <v>0</v>
      </c>
    </row>
    <row r="154" spans="1:2" x14ac:dyDescent="0.3">
      <c r="A154" s="2" t="str">
        <f>'Nation Wise Summary'!A154</f>
        <v>Estonia</v>
      </c>
      <c r="B154" s="2">
        <f>'Nation Wise Summary'!D154</f>
        <v>0</v>
      </c>
    </row>
    <row r="155" spans="1:2" x14ac:dyDescent="0.3">
      <c r="A155" s="2" t="str">
        <f>'Nation Wise Summary'!A155</f>
        <v>Eswatini</v>
      </c>
      <c r="B155" s="2">
        <f>'Nation Wise Summary'!D155</f>
        <v>0</v>
      </c>
    </row>
    <row r="156" spans="1:2" x14ac:dyDescent="0.3">
      <c r="A156" s="2" t="str">
        <f>'Nation Wise Summary'!A156</f>
        <v>Mauritius</v>
      </c>
      <c r="B156" s="2">
        <f>'Nation Wise Summary'!D156</f>
        <v>0</v>
      </c>
    </row>
    <row r="157" spans="1:2" x14ac:dyDescent="0.3">
      <c r="A157" s="2" t="str">
        <f>'Nation Wise Summary'!A157</f>
        <v>Djibouti</v>
      </c>
      <c r="B157" s="2">
        <f>'Nation Wise Summary'!D157</f>
        <v>0</v>
      </c>
    </row>
    <row r="158" spans="1:2" x14ac:dyDescent="0.3">
      <c r="A158" s="2" t="str">
        <f>'Nation Wise Summary'!A158</f>
        <v>Fiji</v>
      </c>
      <c r="B158" s="2">
        <f>'Nation Wise Summary'!D158</f>
        <v>0</v>
      </c>
    </row>
    <row r="159" spans="1:2" x14ac:dyDescent="0.3">
      <c r="A159" s="2" t="str">
        <f>'Nation Wise Summary'!A159</f>
        <v>Comoros</v>
      </c>
      <c r="B159" s="2">
        <f>'Nation Wise Summary'!D159</f>
        <v>0</v>
      </c>
    </row>
    <row r="160" spans="1:2" x14ac:dyDescent="0.3">
      <c r="A160" s="2" t="str">
        <f>'Nation Wise Summary'!A160</f>
        <v>Solomon Islands</v>
      </c>
      <c r="B160" s="2">
        <f>'Nation Wise Summary'!D160</f>
        <v>0</v>
      </c>
    </row>
    <row r="161" spans="1:2" x14ac:dyDescent="0.3">
      <c r="A161" s="2" t="str">
        <f>'Nation Wise Summary'!A161</f>
        <v>Guyana</v>
      </c>
      <c r="B161" s="2">
        <f>'Nation Wise Summary'!D161</f>
        <v>0</v>
      </c>
    </row>
    <row r="162" spans="1:2" x14ac:dyDescent="0.3">
      <c r="A162" s="2" t="str">
        <f>'Nation Wise Summary'!A162</f>
        <v>Bhutan</v>
      </c>
      <c r="B162" s="2">
        <f>'Nation Wise Summary'!D162</f>
        <v>0</v>
      </c>
    </row>
    <row r="163" spans="1:2" x14ac:dyDescent="0.3">
      <c r="A163" s="2" t="str">
        <f>'Nation Wise Summary'!A163</f>
        <v>Luxembourg</v>
      </c>
      <c r="B163" s="2">
        <f>'Nation Wise Summary'!D163</f>
        <v>0</v>
      </c>
    </row>
    <row r="164" spans="1:2" x14ac:dyDescent="0.3">
      <c r="A164" s="2" t="str">
        <f>'Nation Wise Summary'!A164</f>
        <v>Suriname</v>
      </c>
      <c r="B164" s="2">
        <f>'Nation Wise Summary'!D164</f>
        <v>0</v>
      </c>
    </row>
    <row r="165" spans="1:2" x14ac:dyDescent="0.3">
      <c r="A165" s="2" t="str">
        <f>'Nation Wise Summary'!A165</f>
        <v>Montenegro</v>
      </c>
      <c r="B165" s="2">
        <f>'Nation Wise Summary'!D165</f>
        <v>0</v>
      </c>
    </row>
    <row r="166" spans="1:2" x14ac:dyDescent="0.3">
      <c r="A166" s="2" t="str">
        <f>'Nation Wise Summary'!A166</f>
        <v>Malta</v>
      </c>
      <c r="B166" s="2">
        <f>'Nation Wise Summary'!D166</f>
        <v>0</v>
      </c>
    </row>
    <row r="167" spans="1:2" x14ac:dyDescent="0.3">
      <c r="A167" s="2" t="str">
        <f>'Nation Wise Summary'!A167</f>
        <v>Maldives</v>
      </c>
      <c r="B167" s="2">
        <f>'Nation Wise Summary'!D167</f>
        <v>0</v>
      </c>
    </row>
    <row r="168" spans="1:2" x14ac:dyDescent="0.3">
      <c r="A168" s="2" t="str">
        <f>'Nation Wise Summary'!A168</f>
        <v>Cabo Verde</v>
      </c>
      <c r="B168" s="2">
        <f>'Nation Wise Summary'!D168</f>
        <v>0</v>
      </c>
    </row>
    <row r="169" spans="1:2" x14ac:dyDescent="0.3">
      <c r="A169" s="2" t="str">
        <f>'Nation Wise Summary'!A169</f>
        <v>Brunei</v>
      </c>
      <c r="B169" s="2">
        <f>'Nation Wise Summary'!D169</f>
        <v>0</v>
      </c>
    </row>
    <row r="170" spans="1:2" x14ac:dyDescent="0.3">
      <c r="A170" s="2" t="str">
        <f>'Nation Wise Summary'!A170</f>
        <v>Belize</v>
      </c>
      <c r="B170" s="2">
        <f>'Nation Wise Summary'!D170</f>
        <v>0</v>
      </c>
    </row>
    <row r="171" spans="1:2" x14ac:dyDescent="0.3">
      <c r="A171" s="2" t="str">
        <f>'Nation Wise Summary'!A171</f>
        <v>Bahamas</v>
      </c>
      <c r="B171" s="2">
        <f>'Nation Wise Summary'!D171</f>
        <v>0</v>
      </c>
    </row>
    <row r="172" spans="1:2" x14ac:dyDescent="0.3">
      <c r="A172" s="2" t="str">
        <f>'Nation Wise Summary'!A172</f>
        <v>Iceland</v>
      </c>
      <c r="B172" s="2">
        <f>'Nation Wise Summary'!D172</f>
        <v>0</v>
      </c>
    </row>
    <row r="173" spans="1:2" x14ac:dyDescent="0.3">
      <c r="A173" s="2" t="str">
        <f>'Nation Wise Summary'!A173</f>
        <v>Vanuatu</v>
      </c>
      <c r="B173" s="2">
        <f>'Nation Wise Summary'!D173</f>
        <v>0</v>
      </c>
    </row>
    <row r="174" spans="1:2" x14ac:dyDescent="0.3">
      <c r="A174" s="2" t="str">
        <f>'Nation Wise Summary'!A174</f>
        <v>Barbados</v>
      </c>
      <c r="B174" s="2">
        <f>'Nation Wise Summary'!D174</f>
        <v>0</v>
      </c>
    </row>
    <row r="175" spans="1:2" x14ac:dyDescent="0.3">
      <c r="A175" s="2" t="str">
        <f>'Nation Wise Summary'!A175</f>
        <v>Sao Tome &amp; Principe</v>
      </c>
      <c r="B175" s="2">
        <f>'Nation Wise Summary'!D175</f>
        <v>0</v>
      </c>
    </row>
    <row r="176" spans="1:2" x14ac:dyDescent="0.3">
      <c r="A176" s="2" t="str">
        <f>'Nation Wise Summary'!A176</f>
        <v>Samoa</v>
      </c>
      <c r="B176" s="2">
        <f>'Nation Wise Summary'!D176</f>
        <v>0</v>
      </c>
    </row>
    <row r="177" spans="1:2" x14ac:dyDescent="0.3">
      <c r="A177" s="2" t="str">
        <f>'Nation Wise Summary'!A177</f>
        <v>Saint Lucia</v>
      </c>
      <c r="B177" s="2">
        <f>'Nation Wise Summary'!D177</f>
        <v>0</v>
      </c>
    </row>
    <row r="178" spans="1:2" x14ac:dyDescent="0.3">
      <c r="A178" s="2" t="e">
        <f>'Nation Wise Summary'!#REF!</f>
        <v>#REF!</v>
      </c>
      <c r="B178" s="2" t="e">
        <f>'Nation Wise Summary'!#REF!</f>
        <v>#REF!</v>
      </c>
    </row>
    <row r="179" spans="1:2" x14ac:dyDescent="0.3">
      <c r="A179" s="2" t="str">
        <f>'Nation Wise Summary'!A178</f>
        <v>Kiribati</v>
      </c>
      <c r="B179" s="2">
        <f>'Nation Wise Summary'!D178</f>
        <v>0</v>
      </c>
    </row>
    <row r="180" spans="1:2" x14ac:dyDescent="0.3">
      <c r="A180" s="2" t="str">
        <f>'Nation Wise Summary'!A179</f>
        <v>Seychelles</v>
      </c>
      <c r="B180" s="2">
        <f>'Nation Wise Summary'!D179</f>
        <v>0</v>
      </c>
    </row>
    <row r="181" spans="1:2" x14ac:dyDescent="0.3">
      <c r="A181" s="2" t="str">
        <f>'Nation Wise Summary'!A180</f>
        <v>Grenada</v>
      </c>
      <c r="B181" s="2">
        <f>'Nation Wise Summary'!D180</f>
        <v>0</v>
      </c>
    </row>
    <row r="182" spans="1:2" x14ac:dyDescent="0.3">
      <c r="A182" s="2" t="str">
        <f>'Nation Wise Summary'!A181</f>
        <v>Micronesia</v>
      </c>
      <c r="B182" s="2">
        <f>'Nation Wise Summary'!D181</f>
        <v>0</v>
      </c>
    </row>
    <row r="183" spans="1:2" x14ac:dyDescent="0.3">
      <c r="A183" s="2" t="str">
        <f>'Nation Wise Summary'!A182</f>
        <v>Tonga</v>
      </c>
      <c r="B183" s="2">
        <f>'Nation Wise Summary'!D182</f>
        <v>0</v>
      </c>
    </row>
    <row r="184" spans="1:2" x14ac:dyDescent="0.3">
      <c r="A184" s="2" t="str">
        <f>'Nation Wise Summary'!A183</f>
        <v>Saint Vincent and Grenadines</v>
      </c>
      <c r="B184" s="2">
        <f>'Nation Wise Summary'!D183</f>
        <v>0</v>
      </c>
    </row>
    <row r="185" spans="1:2" x14ac:dyDescent="0.3">
      <c r="A185" s="2" t="str">
        <f>'Nation Wise Summary'!A184</f>
        <v>Antigua and Barbuda</v>
      </c>
      <c r="B185" s="2">
        <f>'Nation Wise Summary'!D184</f>
        <v>0</v>
      </c>
    </row>
    <row r="186" spans="1:2" x14ac:dyDescent="0.3">
      <c r="A186" s="2" t="e">
        <f>'Nation Wise Summary'!#REF!</f>
        <v>#REF!</v>
      </c>
      <c r="B186" s="2" t="e">
        <f>'Nation Wise Summary'!#REF!</f>
        <v>#REF!</v>
      </c>
    </row>
    <row r="187" spans="1:2" x14ac:dyDescent="0.3">
      <c r="A187" s="2" t="str">
        <f>'Nation Wise Summary'!A185</f>
        <v>Andorra</v>
      </c>
      <c r="B187" s="2">
        <f>'Nation Wise Summary'!D185</f>
        <v>0</v>
      </c>
    </row>
    <row r="188" spans="1:2" x14ac:dyDescent="0.3">
      <c r="A188" s="2" t="str">
        <f>'Nation Wise Summary'!A186</f>
        <v>Cayman Islands</v>
      </c>
      <c r="B188" s="2">
        <f>'Nation Wise Summary'!D186</f>
        <v>0</v>
      </c>
    </row>
    <row r="189" spans="1:2" x14ac:dyDescent="0.3">
      <c r="A189" s="2" t="str">
        <f>'Nation Wise Summary'!A187</f>
        <v>Dominica</v>
      </c>
      <c r="B189" s="2">
        <f>'Nation Wise Summary'!D187</f>
        <v>0</v>
      </c>
    </row>
    <row r="190" spans="1:2" x14ac:dyDescent="0.3">
      <c r="A190" s="2" t="str">
        <f>'Nation Wise Summary'!A188</f>
        <v>Bermuda</v>
      </c>
      <c r="B190" s="2">
        <f>'Nation Wise Summary'!D188</f>
        <v>0</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Nation Wise Summary</vt:lpstr>
      <vt:lpstr>Nation Non-Social Pop Demograph</vt:lpstr>
      <vt:lpstr>Nation-Wide Education Seg</vt:lpstr>
      <vt:lpstr>City Wise Data</vt:lpstr>
      <vt:lpstr>Nation Topography</vt:lpstr>
      <vt:lpstr>City Topography</vt:lpstr>
      <vt:lpstr>Nation-wise source of income</vt:lpstr>
      <vt:lpstr>Nation Wise Cost of Living Data</vt:lpstr>
      <vt:lpstr>City Wise Cost of Living Data</vt:lpstr>
      <vt:lpstr>Nation wise safety index cal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Steelras Gengacross</dc:creator>
  <cp:lastModifiedBy>Steelras Gengacross</cp:lastModifiedBy>
  <dcterms:created xsi:type="dcterms:W3CDTF">2026-08-31T12:00:25Z</dcterms:created>
  <dcterms:modified xsi:type="dcterms:W3CDTF">2026-09-23T18:38:03Z</dcterms:modified>
</cp:coreProperties>
</file>