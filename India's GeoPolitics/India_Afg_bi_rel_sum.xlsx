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Tops_Assignments\Topps Project\India's GeoPolitics\"/>
    </mc:Choice>
  </mc:AlternateContent>
  <xr:revisionPtr revIDLastSave="0" documentId="13_ncr:1_{4AA32EAE-F19A-4D17-8894-A9320A06CFC6}" xr6:coauthVersionLast="47" xr6:coauthVersionMax="47" xr10:uidLastSave="{00000000-0000-0000-0000-000000000000}"/>
  <bookViews>
    <workbookView xWindow="-108" yWindow="-108" windowWidth="23256" windowHeight="12456" firstSheet="2" activeTab="4" xr2:uid="{EBBAAE17-4A69-49DA-B555-D10672A4D928}"/>
  </bookViews>
  <sheets>
    <sheet name="India Bilateral Rel Summary" sheetId="1" r:id="rId1"/>
    <sheet name="Mineral Demand" sheetId="2" r:id="rId2"/>
    <sheet name="Mineral Consumption" sheetId="5" r:id="rId3"/>
    <sheet name="Mineral Reserves" sheetId="3" r:id="rId4"/>
    <sheet name="Mineral Supply" sheetId="4" r:id="rId5"/>
    <sheet name="Mineral Imports" sheetId="6" r:id="rId6"/>
    <sheet name="Mineral Exports" sheetId="7" r:id="rId7"/>
  </sheets>
  <definedNames>
    <definedName name="_xlnm._FilterDatabase" localSheetId="5" hidden="1">'Mineral Imports'!$A$1:$OG$83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2" l="1"/>
  <c r="J2" i="3"/>
  <c r="J2" i="2"/>
  <c r="R2" i="6"/>
  <c r="H2" i="2"/>
  <c r="F2" i="2"/>
  <c r="E2" i="3"/>
  <c r="E2" i="2"/>
  <c r="D2" i="2"/>
  <c r="Y3" i="1"/>
  <c r="AU3" i="1"/>
  <c r="AL3" i="1"/>
  <c r="AJ3" i="1"/>
  <c r="AJ2" i="1"/>
  <c r="AK3" i="1"/>
  <c r="AK2" i="1"/>
  <c r="AI3" i="1"/>
  <c r="AI2" i="1"/>
  <c r="V3" i="1"/>
  <c r="V2" i="1"/>
  <c r="Q3" i="1"/>
  <c r="Q2" i="1"/>
  <c r="J3" i="1"/>
  <c r="K3" i="1" s="1"/>
  <c r="H3" i="1"/>
  <c r="K2" i="1"/>
  <c r="H2" i="1"/>
  <c r="AX2" i="1"/>
  <c r="AU2" i="1"/>
  <c r="AL2" i="1"/>
</calcChain>
</file>

<file path=xl/sharedStrings.xml><?xml version="1.0" encoding="utf-8"?>
<sst xmlns="http://schemas.openxmlformats.org/spreadsheetml/2006/main" count="2284" uniqueCount="855">
  <si>
    <t>Host Nation</t>
  </si>
  <si>
    <t>Guest Nation</t>
  </si>
  <si>
    <t>India</t>
  </si>
  <si>
    <t>Afghanistan</t>
  </si>
  <si>
    <t>Population of Host nation (crore)</t>
  </si>
  <si>
    <t>Population of Guest nation (crore)</t>
  </si>
  <si>
    <t>Land Area of Host nation (sq km)</t>
  </si>
  <si>
    <t>Land Area of Guest nation (sq km)</t>
  </si>
  <si>
    <t>Currency of Host nation</t>
  </si>
  <si>
    <t>Indian Rupees</t>
  </si>
  <si>
    <t>Currency of Guest nation</t>
  </si>
  <si>
    <t>Afghan Afghani</t>
  </si>
  <si>
    <t>Exchange rate (₹)</t>
  </si>
  <si>
    <t>GDP in 2025 for host nation (mil US$)</t>
  </si>
  <si>
    <t>GDP in 2025 for guest nation (mil US$)</t>
  </si>
  <si>
    <t>GDP in 2024 for host nation (mil US$)</t>
  </si>
  <si>
    <t>GDP in 2024 for guest nation (mil US$)</t>
  </si>
  <si>
    <t>est. GDP in 2026 for host nation (mil US$)</t>
  </si>
  <si>
    <t>est. GDP in 2026 for guest nation (mil US$)</t>
  </si>
  <si>
    <t>GDP Growth of host</t>
  </si>
  <si>
    <t>GDP Growth of guest</t>
  </si>
  <si>
    <t>Estimated GDP Growth of host</t>
  </si>
  <si>
    <t>Estimated GDP Growth of guest</t>
  </si>
  <si>
    <t>Key items of import</t>
  </si>
  <si>
    <t>Key items to export</t>
  </si>
  <si>
    <t>Import from host country (mil US$)</t>
  </si>
  <si>
    <t>Export to host country (mil US$)</t>
  </si>
  <si>
    <t>Pharmaceutical Products, Apparel and Textiles (Not Knitted), Tobacco, Man-Made Fibres and Filaments, Animal Fodder amd Food Residues</t>
  </si>
  <si>
    <t>Fruits and Nuts, Gums and Resins, Spices, Edible Vegetables, Oil Seeds</t>
  </si>
  <si>
    <t>Trade deficit</t>
  </si>
  <si>
    <t>First Bilateral Meet between the two nations</t>
  </si>
  <si>
    <t>Latest Bilateral Meet between the two nations</t>
  </si>
  <si>
    <t>City of first meet</t>
  </si>
  <si>
    <t>Country of first meet</t>
  </si>
  <si>
    <t>City of latest meet</t>
  </si>
  <si>
    <t>Country of latest meet</t>
  </si>
  <si>
    <t>Leader of the Host Nation during first meet</t>
  </si>
  <si>
    <t>Leader of the Guest Nation during the first meet</t>
  </si>
  <si>
    <t>Leader of the Host Nation of latest meet</t>
  </si>
  <si>
    <t>Leader of the Guest Nation in the latest meet</t>
  </si>
  <si>
    <t>Meeting leaders of the first meet</t>
  </si>
  <si>
    <t>Meeting leaders of the latest meet</t>
  </si>
  <si>
    <t>New Delhi</t>
  </si>
  <si>
    <t>Pt. Jawaharlal Nehru</t>
  </si>
  <si>
    <t>Prime Minister</t>
  </si>
  <si>
    <t>Mohammad Zahir Khan</t>
  </si>
  <si>
    <t>Post of the leader of the Host at the first meet</t>
  </si>
  <si>
    <t>Post of the leader of the Guest at the first meet</t>
  </si>
  <si>
    <t>King</t>
  </si>
  <si>
    <t>Pt. Jawaharlal Nehru (as Minister of External Affairs) - Sardar Najibullah Khan (as Ambassador of India)</t>
  </si>
  <si>
    <t>1. Diplomatic Recognition and Sovereignty, 2. Trade Routes. 3. Movement of People. 4. Countering Regional Isolation while keeping a Non-Alignment Framework. 5. Revive the ancient links</t>
  </si>
  <si>
    <t>Virtual</t>
  </si>
  <si>
    <t>Post of the leader of the Host at the meet</t>
  </si>
  <si>
    <t>Narendra Modi</t>
  </si>
  <si>
    <t>Hibatullah Akhundzada</t>
  </si>
  <si>
    <t>Post of the leader of the Guest at the meet</t>
  </si>
  <si>
    <t>Supreme Leader of the Taliban Administration</t>
  </si>
  <si>
    <t xml:space="preserve">M.Anand Prakash (Joint secretary dealing with PAI at MEA) - Shuaib Baryalai (Director General of the first Political Division within Afghanistan's Ministry of Foreign Affairs) </t>
  </si>
  <si>
    <t>Key Agenda of the Latest meet</t>
  </si>
  <si>
    <t>Key Agenda of the First Meet</t>
  </si>
  <si>
    <t>1.Customs Cooperation 2. Cargo Connectivity and Ports 3. Tariff Concessions 4. Visa Facilitation 5. Bamking and Finance Support 6. Investment Promotion 7. Pharmaceutical and Agriculture Trade 8. Energy Cooperation</t>
  </si>
  <si>
    <t>Relation with host</t>
  </si>
  <si>
    <t>Industry wise major Trade between the two nations</t>
  </si>
  <si>
    <t>Import from host country in 2025(mil US$)</t>
  </si>
  <si>
    <t>Export to host country in 2025 (mil US$)</t>
  </si>
  <si>
    <t>Trade Deficit in 2025</t>
  </si>
  <si>
    <t>Multilateral Cooperation</t>
  </si>
  <si>
    <t>Friendly</t>
  </si>
  <si>
    <t>Key Notes</t>
  </si>
  <si>
    <t>SAARC, Heart of Asia, UN</t>
  </si>
  <si>
    <t>\</t>
  </si>
  <si>
    <t>AFG -&gt; Dry Fruits and Nuts, Spices and Resins, Seasonal fruits like apples, pomegranates etc.  India -&gt; Packed Medicaments, Sugar and Confectionery, Textiles and Apparel, Auto Components, and Industrial Equipment that includes Tractor machinery and assembly tools for Afghan construction and farming initiatives.</t>
  </si>
  <si>
    <t>Albania</t>
  </si>
  <si>
    <t>Continent</t>
  </si>
  <si>
    <t>Asia</t>
  </si>
  <si>
    <t>Host Population Density Range</t>
  </si>
  <si>
    <t>Average Host Population Density</t>
  </si>
  <si>
    <t>Guest Population Density Range</t>
  </si>
  <si>
    <t>Average Guest Population Density</t>
  </si>
  <si>
    <t>Mean Host Population Density</t>
  </si>
  <si>
    <t>Mean Guest Population Density</t>
  </si>
  <si>
    <t>Host Urban Population Density</t>
  </si>
  <si>
    <t>Guest Urban Population Density</t>
  </si>
  <si>
    <t>Guest Rural Population Density</t>
  </si>
  <si>
    <t>Host Rural Population Density</t>
  </si>
  <si>
    <t>Urban Population of Host (crore)</t>
  </si>
  <si>
    <t>Urban Population of Guest (crore)</t>
  </si>
  <si>
    <t>Host Urban Percentage</t>
  </si>
  <si>
    <t>36155- 5</t>
  </si>
  <si>
    <t>12900 - 5</t>
  </si>
  <si>
    <t>562 - 21</t>
  </si>
  <si>
    <t>Albanian Lek</t>
  </si>
  <si>
    <t>5000-7000</t>
  </si>
  <si>
    <t>310-320</t>
  </si>
  <si>
    <t>2100-4800</t>
  </si>
  <si>
    <t>40-50</t>
  </si>
  <si>
    <t>Guest Urban Percentage</t>
  </si>
  <si>
    <t>Urbanised Land Percent of Host</t>
  </si>
  <si>
    <t>Urbanised Land Percent of Guest</t>
  </si>
  <si>
    <t>Europe</t>
  </si>
  <si>
    <t>Iron and Steel, Minerals, Stone, and Cement Materials, Aluminium, Zinc</t>
  </si>
  <si>
    <t>Ceramics, Cement (Stone and Plaster) Products, Agricultural Staples (Coffee, Tea, Spices), Industrial Machinery and Boilers, Paper and Pulp Articles, Refined Petroleum</t>
  </si>
  <si>
    <t>Tirana</t>
  </si>
  <si>
    <t>Enver Hoxha</t>
  </si>
  <si>
    <t>Enver Hoxha (as Communist Leader of the Albania) and Mehmet Shehu (Albanian Prime Minister) - Pt. Jawaharlal Nehru (as India's Minister of External Affairs)</t>
  </si>
  <si>
    <t>Communist Leader</t>
  </si>
  <si>
    <t>1. Formal Sovereignty Recognition , 2. Opening Diplomatic Channels, 3. Fostering Global Peace, 4. Multilateral Cooperation, 5. Exploring Initial Trade and Cultural Bridges</t>
  </si>
  <si>
    <t>Algeria</t>
  </si>
  <si>
    <t xml:space="preserve">Thorium, Mica, Lignite Coal, Iron Ore, Bauxite, Lithium, Manganese, Chromite, Limestone, Dolomite </t>
  </si>
  <si>
    <t>Top Ten Mineral Available in Guest</t>
  </si>
  <si>
    <t>Top Ten Mineral Deficient in Host</t>
  </si>
  <si>
    <t>Platinum Group Elements like Platinum and Paladium, Cobalt, Nickel, Potash, Tungsten, Antimony, Gold, Diamonds, Copper, Heavy Rare Earth Elements like Neodymium and Dysprosium</t>
  </si>
  <si>
    <t>Top Ten Mineral Deficient in Guest</t>
  </si>
  <si>
    <t>Natural Gas and unconventional Shale Gas, Crude Oil, Iron Ore, Phosphate Rock, Gypsum, Zinc and Lead, Helium, Gold, Barite, Bentonite</t>
  </si>
  <si>
    <t>Iron Ore, Marbles, Natural Gas, Crude Oil, Bauxite, Copper, Rare Earth Elements, Lithium, Lapis Lazuli</t>
  </si>
  <si>
    <t xml:space="preserve">Platinum Group Elements, Gold and Silver, Special Alloy and Modern Tech Elements like Nickel, Chromium </t>
  </si>
  <si>
    <t>Top Ten Mineral Significant in Host</t>
  </si>
  <si>
    <t>Austrailia</t>
  </si>
  <si>
    <t>Brazil</t>
  </si>
  <si>
    <t>Iron Ore, Bauxite,</t>
  </si>
  <si>
    <t>Guinea</t>
  </si>
  <si>
    <t>Bauxite,</t>
  </si>
  <si>
    <t>South Africa</t>
  </si>
  <si>
    <t>Turkey</t>
  </si>
  <si>
    <t>Kazakhstan</t>
  </si>
  <si>
    <t>Chromite</t>
  </si>
  <si>
    <t>Bauxite, Chromite,</t>
  </si>
  <si>
    <t>Peru</t>
  </si>
  <si>
    <t>Mexico</t>
  </si>
  <si>
    <t>Zinc</t>
  </si>
  <si>
    <t xml:space="preserve">Iron Ore, Bauxite, </t>
  </si>
  <si>
    <t>Morocco</t>
  </si>
  <si>
    <t>China</t>
  </si>
  <si>
    <t>Barite</t>
  </si>
  <si>
    <t>Chromite, Barite,</t>
  </si>
  <si>
    <t xml:space="preserve">1. India has recently uograded its technical mission in Kabul into a full embassy status.2. Afghan Foreign Minister Amir Khan Muttaqi visited India following a waiver of UN travel restriction. 3. Afghanistan has only received an observer status in SCO while India is a full member of the group. </t>
  </si>
  <si>
    <t xml:space="preserve">1. In 2024, India's exports of refined petroleum to Albania skyrocketed to $58.1 million due to heavily discounted crude imports -&gt; refining them -&gt; exporting high volumes of diesel and fuel oils to Albania. </t>
  </si>
  <si>
    <t>Iron Ore</t>
  </si>
  <si>
    <t>Bauxite</t>
  </si>
  <si>
    <t>Copper</t>
  </si>
  <si>
    <t>Gold</t>
  </si>
  <si>
    <t>Silver</t>
  </si>
  <si>
    <t>Nickel</t>
  </si>
  <si>
    <t>Cobalt</t>
  </si>
  <si>
    <t>Lithium</t>
  </si>
  <si>
    <t>Manganese</t>
  </si>
  <si>
    <t>Lead</t>
  </si>
  <si>
    <t>Tin</t>
  </si>
  <si>
    <t>Tungsten</t>
  </si>
  <si>
    <t>Molybdenum</t>
  </si>
  <si>
    <t>Vanadium</t>
  </si>
  <si>
    <t>Rare Earth Elements</t>
  </si>
  <si>
    <t>Natural Graphite</t>
  </si>
  <si>
    <t>Niobium</t>
  </si>
  <si>
    <t>Tantalum</t>
  </si>
  <si>
    <t>Antimony</t>
  </si>
  <si>
    <t>Phosphate Rock</t>
  </si>
  <si>
    <t>Potash</t>
  </si>
  <si>
    <t>Flurospar</t>
  </si>
  <si>
    <t>Boron</t>
  </si>
  <si>
    <t>Gypsum</t>
  </si>
  <si>
    <t>Talc</t>
  </si>
  <si>
    <t>Kaolin</t>
  </si>
  <si>
    <t>Feldspar</t>
  </si>
  <si>
    <t>Silica / Quartz</t>
  </si>
  <si>
    <t>Titanium minerals</t>
  </si>
  <si>
    <t>Zircon</t>
  </si>
  <si>
    <t>Uranium</t>
  </si>
  <si>
    <t>Diamond</t>
  </si>
  <si>
    <t>Emerald</t>
  </si>
  <si>
    <t>Ruby</t>
  </si>
  <si>
    <t>Sapphire</t>
  </si>
  <si>
    <t>Crude Petroleum / Oil</t>
  </si>
  <si>
    <t>Natural Gas</t>
  </si>
  <si>
    <t>Coal</t>
  </si>
  <si>
    <t>Lignite</t>
  </si>
  <si>
    <t>Oil Sands / Bitumen</t>
  </si>
  <si>
    <t>Shale Oil / Tight Oil</t>
  </si>
  <si>
    <t>Shale Gas</t>
  </si>
  <si>
    <t>Coal-bed Methane</t>
  </si>
  <si>
    <t>Thorium</t>
  </si>
  <si>
    <t>Bismuth</t>
  </si>
  <si>
    <t>Gallium</t>
  </si>
  <si>
    <t>Germanium</t>
  </si>
  <si>
    <t>Indium</t>
  </si>
  <si>
    <t>Tellurium</t>
  </si>
  <si>
    <t>Selenium</t>
  </si>
  <si>
    <t>Rhenium</t>
  </si>
  <si>
    <t>Platinum</t>
  </si>
  <si>
    <t>Palladium</t>
  </si>
  <si>
    <t>Rhodium</t>
  </si>
  <si>
    <t>Iridium</t>
  </si>
  <si>
    <t>Ruthenium</t>
  </si>
  <si>
    <t>Osmium</t>
  </si>
  <si>
    <t>Sulfur</t>
  </si>
  <si>
    <t>Mica</t>
  </si>
  <si>
    <t>Bentonite</t>
  </si>
  <si>
    <t>Perlite</t>
  </si>
  <si>
    <t>Pumice</t>
  </si>
  <si>
    <t>Diatomite</t>
  </si>
  <si>
    <t>Wollastonite</t>
  </si>
  <si>
    <t>Vermiculite</t>
  </si>
  <si>
    <t>Salt</t>
  </si>
  <si>
    <t>Soda Ash</t>
  </si>
  <si>
    <t>Sodium Sulfate</t>
  </si>
  <si>
    <t>Strontium / Celestite</t>
  </si>
  <si>
    <t>Garnet, Industrial</t>
  </si>
  <si>
    <t>Magnesite</t>
  </si>
  <si>
    <t>Rutile</t>
  </si>
  <si>
    <t>Helium</t>
  </si>
  <si>
    <t>Iodine</t>
  </si>
  <si>
    <t>Bromine</t>
  </si>
  <si>
    <t>Magnesium</t>
  </si>
  <si>
    <t>Marble</t>
  </si>
  <si>
    <t>Sand and Gravel</t>
  </si>
  <si>
    <t>Clay</t>
  </si>
  <si>
    <t>Key Related Industries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</si>
  <si>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</si>
  <si>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</si>
  <si>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</si>
  <si>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</si>
  <si>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</si>
  <si>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</si>
  <si>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</si>
  <si>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</si>
  <si>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</si>
  <si>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</si>
  <si>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</si>
  <si>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</si>
  <si>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</si>
  <si>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</si>
  <si>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</si>
  <si>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</si>
  <si>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</si>
  <si>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</si>
  <si>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</si>
  <si>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</si>
  <si>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</si>
  <si>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</si>
  <si>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</si>
  <si>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</si>
  <si>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</si>
  <si>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</si>
  <si>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</si>
  <si>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</si>
  <si>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</si>
  <si>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</si>
  <si>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</si>
  <si>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Colombia</t>
  </si>
  <si>
    <t>Comoros</t>
  </si>
  <si>
    <t xml:space="preserve">Congo </t>
  </si>
  <si>
    <t>Costa Rica</t>
  </si>
  <si>
    <t>Cote d 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</si>
  <si>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</si>
  <si>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</si>
  <si>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</si>
  <si>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</si>
  <si>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</si>
  <si>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</si>
  <si>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</si>
  <si>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</si>
  <si>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</si>
  <si>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</si>
  <si>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</si>
  <si>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</si>
  <si>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</si>
  <si>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</si>
  <si>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</si>
  <si>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</si>
  <si>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</si>
  <si>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European_Union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</si>
  <si>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</si>
  <si>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</si>
  <si>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</si>
  <si>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</si>
  <si>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</si>
  <si>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</si>
  <si>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</si>
  <si>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</si>
  <si>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</si>
  <si>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</si>
  <si>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</si>
  <si>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Guinea-Bissau</t>
  </si>
  <si>
    <t>Guyana</t>
  </si>
  <si>
    <t>Haiti</t>
  </si>
  <si>
    <t>Holy See</t>
  </si>
  <si>
    <t>Honduras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</si>
  <si>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</si>
  <si>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</si>
  <si>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</si>
  <si>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</si>
  <si>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</si>
  <si>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</si>
  <si>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</si>
  <si>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</si>
  <si>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</si>
  <si>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</si>
  <si>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Jersey</t>
  </si>
  <si>
    <t>Jordan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</si>
  <si>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</si>
  <si>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</si>
  <si>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</si>
  <si>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</si>
  <si>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</si>
  <si>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</si>
  <si>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</si>
  <si>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</si>
  <si>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</si>
  <si>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</si>
  <si>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</si>
  <si>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</si>
  <si>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</si>
  <si>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</si>
  <si>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</si>
  <si>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</si>
  <si>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</si>
  <si>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</si>
  <si>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</si>
  <si>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</si>
  <si>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</si>
  <si>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</si>
  <si>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Micronesia</t>
  </si>
  <si>
    <t>Moldova</t>
  </si>
  <si>
    <t>Monaco</t>
  </si>
  <si>
    <t>Mongolia</t>
  </si>
  <si>
    <t>Montenegro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</si>
  <si>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</si>
  <si>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</si>
  <si>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</si>
  <si>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</si>
  <si>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</si>
  <si>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</si>
  <si>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</si>
  <si>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</si>
  <si>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</si>
  <si>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</si>
  <si>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</si>
  <si>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</si>
  <si>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</si>
  <si>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</si>
  <si>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</si>
  <si>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</si>
  <si>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</si>
  <si>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</si>
  <si>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</si>
  <si>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</si>
  <si>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</si>
  <si>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</si>
  <si>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</si>
  <si>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</si>
  <si>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</si>
  <si>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</si>
  <si>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</si>
  <si>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</si>
  <si>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</si>
  <si>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</si>
  <si>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</si>
  <si>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</si>
  <si>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</si>
  <si>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</si>
  <si>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</si>
  <si>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</si>
  <si>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</si>
  <si>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</si>
  <si>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</si>
  <si>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</si>
  <si>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</si>
  <si>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</si>
  <si>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</si>
  <si>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</si>
  <si>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</si>
  <si>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</si>
  <si>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</si>
  <si>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</si>
  <si>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</si>
  <si>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</si>
  <si>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</si>
  <si>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</si>
  <si>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</si>
  <si>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</si>
  <si>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</si>
  <si>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</si>
  <si>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</si>
  <si>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</si>
  <si>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</si>
  <si>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</si>
  <si>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</si>
  <si>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</si>
  <si>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</si>
  <si>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</si>
  <si>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</si>
  <si>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</si>
  <si>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</si>
  <si>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</si>
  <si>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</si>
  <si>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</si>
  <si>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</si>
  <si>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</si>
  <si>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</si>
  <si>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</si>
  <si>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</si>
  <si>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Zimbabwe.</t>
  </si>
  <si>
    <t>Top Five Producing Nations</t>
  </si>
  <si>
    <t>Top Five Best Producing nations</t>
  </si>
  <si>
    <t>Description</t>
  </si>
  <si>
    <t>A Type of rock that contains metallic iron.</t>
  </si>
  <si>
    <t>Million Tons</t>
  </si>
  <si>
    <t>Millon Tons</t>
  </si>
  <si>
    <t>1. Albania has lateritic Nicliferous iron ore.</t>
  </si>
  <si>
    <t>Iron and Steel Sector - Integrated Blast Furnaces, Sponge Iron / Direct Reduced Iron,  Pelletization and Sintering, Steel Smelting and Processing.; Raw Mineral Export ad Transnational Mining; Cement Industry as color/weighting; Coal Washeries as a heavy medium; Iron Ore Benefication Industry;</t>
  </si>
  <si>
    <t>India's Key Importing Nations with quantity</t>
  </si>
  <si>
    <t>Afghanistan's Key Importing Nations with quantity</t>
  </si>
  <si>
    <t>Albania's Key Importing Nations with quantity</t>
  </si>
  <si>
    <t>Algeria's Key Importing Nations with quantity</t>
  </si>
  <si>
    <t>Andorra's Key Importing Nations with quantity</t>
  </si>
  <si>
    <t>Angola's Key Importing Nations with quantity</t>
  </si>
  <si>
    <t>AaB's Key Importing Nations with quantity</t>
  </si>
  <si>
    <t>Argentina's Key Importing Nations with quantity</t>
  </si>
  <si>
    <t>Armenia's Key Importing Nations with quantity</t>
  </si>
  <si>
    <t>Australia's Key Importing Nations with quantity</t>
  </si>
  <si>
    <t>Austria's Key Importing Nations with quantity</t>
  </si>
  <si>
    <t>Azerbaijan's Key Importing Nations with quantity</t>
  </si>
  <si>
    <t>Bahamas's Key Importing Nations with quantity</t>
  </si>
  <si>
    <t>Bahrain's Key Importing Nations with quantity</t>
  </si>
  <si>
    <t>Bangladesh's Key Importing Nations with quantity</t>
  </si>
  <si>
    <t>Barbados's Key Importing Nations with quantity</t>
  </si>
  <si>
    <t>Belarus's Key Importing Nations with quantity</t>
  </si>
  <si>
    <t>Belgium's Key Importing Nations with quantity</t>
  </si>
  <si>
    <t>Belize's Key Importing Nations with quantity</t>
  </si>
  <si>
    <t>Benin's Key Importing Nations with quantity</t>
  </si>
  <si>
    <t>Bhutan's Key Importing Nations with quantity</t>
  </si>
  <si>
    <t>Bolivia's Key Importing Nations with quantity</t>
  </si>
  <si>
    <t>BaH's Key Importing Nations with quantity</t>
  </si>
  <si>
    <t>Botswana's Key Importing Nations with quantity</t>
  </si>
  <si>
    <t>Brazil's Key Importing Nations with quantity</t>
  </si>
  <si>
    <t>Brunei's Key Importing Nations with quantity</t>
  </si>
  <si>
    <t>Bulgaria's Key Importing Nations with quantity</t>
  </si>
  <si>
    <t>Burkina Faso's Key Importing Nations with quantity</t>
  </si>
  <si>
    <t>Burundi's Key Importing Nations with quantity</t>
  </si>
  <si>
    <t>Cabo Verde's Key Importing Nations with quantity</t>
  </si>
  <si>
    <t>Cambodia's Key Importing Nations with quantity</t>
  </si>
  <si>
    <t>Cameroon's Key Importing Nations with quantity</t>
  </si>
  <si>
    <t>Canada's Key Importing Nations with quantity</t>
  </si>
  <si>
    <t>CAR's Key Importing Nations with quantity</t>
  </si>
  <si>
    <t>Chad's Key Importing Nations with quantity</t>
  </si>
  <si>
    <t>Chile's Key Importing Nations with quantity</t>
  </si>
  <si>
    <t>China's Key Importing Nations with quantity</t>
  </si>
  <si>
    <t>Columbia's Key Importing Nations with quantity</t>
  </si>
  <si>
    <t>Comoros's Key Importing Nations with quantity</t>
  </si>
  <si>
    <t>Congo's Key Importing Nations with quantity</t>
  </si>
  <si>
    <t>Costa Rica's Key Importing Nations with quantity</t>
  </si>
  <si>
    <t>Ivory Coast's Key Importing Nations with quantity</t>
  </si>
  <si>
    <t>Croatia's Key Importing Nations with quantity</t>
  </si>
  <si>
    <t>Cuba's Key Importing Nations with quantity</t>
  </si>
  <si>
    <t>Cyprus's Key Importing Nations with quantity</t>
  </si>
  <si>
    <t>Czechia's Key Importing Nations with quantity</t>
  </si>
  <si>
    <t>DRC's Key Importing Nations with quantity</t>
  </si>
  <si>
    <t>Denmark's Key Importing Nations with quantity</t>
  </si>
  <si>
    <t>Djibouti's Key Importing Nations with quantity</t>
  </si>
  <si>
    <t>Dominica's Key Importing Nations with quantity</t>
  </si>
  <si>
    <t>Dominican Republic's Key Importing Nations with quantity</t>
  </si>
  <si>
    <t>Ecuador's Key Importing Nations with quantity</t>
  </si>
  <si>
    <t>Egypt's Key Importing Nations with quantity</t>
  </si>
  <si>
    <t>El Salvador's Key Importing Nations with quantity</t>
  </si>
  <si>
    <t>Eq.Guinea's Key Importing Nations with quantity</t>
  </si>
  <si>
    <t>Eritrea's Key Importing Nations with quantity</t>
  </si>
  <si>
    <t>Estonia's Key Importing Nations with quantity</t>
  </si>
  <si>
    <t>Eswatini's Key Importing Nations with quantity</t>
  </si>
  <si>
    <t>Ethiopia's Key Importing Nations with quantity</t>
  </si>
  <si>
    <t>Fiji's Key Importing Nations with quantity</t>
  </si>
  <si>
    <t>Finland's Key Importing Nations with quantity</t>
  </si>
  <si>
    <t>France's Key Importing Nations with quantity</t>
  </si>
  <si>
    <t>Gabon's Key Importing Nations with quantity</t>
  </si>
  <si>
    <t>Gambia's Key Importing Nations with quantity</t>
  </si>
  <si>
    <t>Georgia's Key Importing Nations with quantity</t>
  </si>
  <si>
    <t>Germany's Key Importing Nations with quantity</t>
  </si>
  <si>
    <t>Ghana's Key Importing Nations with quantity</t>
  </si>
  <si>
    <t>Greece's Key Importing Nations with quantity</t>
  </si>
  <si>
    <t>Grenada's Key Importing Nations with quantity</t>
  </si>
  <si>
    <t>Guatemala's Key Importing Nations with quantity</t>
  </si>
  <si>
    <t>Guinea's Key Importing Nations with quantity</t>
  </si>
  <si>
    <t>Guinea-Bissau's Key Importing Nations with quantity</t>
  </si>
  <si>
    <t>Guyana's Key Importing Nations with quantity</t>
  </si>
  <si>
    <t>Holy See's Key Importing Nations with quantity</t>
  </si>
  <si>
    <t>Honduras's Key Importing Nations with quantity</t>
  </si>
  <si>
    <t>Hungary's Key Importing Nations with quantity</t>
  </si>
  <si>
    <t>Iceland's Key Importing Nations with quantity</t>
  </si>
  <si>
    <t>Indonesia's Key Importing Nations with quantity</t>
  </si>
  <si>
    <t>Iran's Key Importing Nations with quantity</t>
  </si>
  <si>
    <t>Iraq's Key Importing Nations with quantity</t>
  </si>
  <si>
    <t>Ireland's Key Importing Nations with quantity</t>
  </si>
  <si>
    <t>Israel's Key Importing Nations with quantity</t>
  </si>
  <si>
    <t>Italy's Key Importing Nations with quantity</t>
  </si>
  <si>
    <t>Jamaica's Key Importing Nations with quantity</t>
  </si>
  <si>
    <t>Japan's Key Importing Nations with quantity</t>
  </si>
  <si>
    <t>Jordan's Key Importing Nations with quantity</t>
  </si>
  <si>
    <t>Kazakhstan's Key Importing Nations with quantity</t>
  </si>
  <si>
    <t>Kenya's Key Importing Nations with quantity</t>
  </si>
  <si>
    <t>Kiribati's Key Importing Nations with quantity</t>
  </si>
  <si>
    <t>Kuwait's Key Importing Nations with quantity</t>
  </si>
  <si>
    <t>Kyrgyzstan's Key Importing Nations with quantity</t>
  </si>
  <si>
    <t>Laos's Key Importing Nations with quantity</t>
  </si>
  <si>
    <t>Latvia's Key Importing Nations with quantity</t>
  </si>
  <si>
    <t>Lebanon's Key Importing Nations with quantity</t>
  </si>
  <si>
    <t>Lesotho's Key Importing Nations with quantity</t>
  </si>
  <si>
    <t>Liberia's Key Importing Nations with quantity</t>
  </si>
  <si>
    <t>Libya's Key Importing Nations with quantity</t>
  </si>
  <si>
    <t>Liechtenstein's Key Importing Nations with quantity</t>
  </si>
  <si>
    <t>Lithuania's Key Importing Nations with quantity</t>
  </si>
  <si>
    <t>Luxembourg's Key Importing Nations with quantity</t>
  </si>
  <si>
    <t>Madagascar's Key Importing Nations with quantity</t>
  </si>
  <si>
    <t>Malawi's Key Importing Nations with quantity</t>
  </si>
  <si>
    <t>Malaysia's Key Importing Nations with quantity</t>
  </si>
  <si>
    <t>Maldives's Key Importing Nations with quantity</t>
  </si>
  <si>
    <t>Mali's Key Importing Nations with quantity</t>
  </si>
  <si>
    <t>Malta's Key Importing Nations with quantity</t>
  </si>
  <si>
    <t>Marshall Islands's Key Importing Nations with quantity</t>
  </si>
  <si>
    <t>Mauritania's Key Importing Nations with quantity</t>
  </si>
  <si>
    <t>Mauritius's Key Importing Nations with quantity</t>
  </si>
  <si>
    <t>Mexico's Key Importing Nations with quantity</t>
  </si>
  <si>
    <t>Micronesia's Key Importing Nations with quantity</t>
  </si>
  <si>
    <t>Moldova's Key Importing Nations with quantity</t>
  </si>
  <si>
    <t>Monaco's Key Importing Nations with quantity</t>
  </si>
  <si>
    <t>Mongolia's Key Importing Nations with quantity</t>
  </si>
  <si>
    <t>Montenegro's Key Importing Nations with quantity</t>
  </si>
  <si>
    <t>Morocco's Key Importing Nations with quantity</t>
  </si>
  <si>
    <t>Mozambique's Key Importing Nations with quantity</t>
  </si>
  <si>
    <t>Myanmar's Key Importing Nations with quantity</t>
  </si>
  <si>
    <t>Namibia's Key Importing Nations with quantity</t>
  </si>
  <si>
    <t>Nauru's Key Importing Nations with quantity</t>
  </si>
  <si>
    <t>Nepal's Key Importing Nations with quantity</t>
  </si>
  <si>
    <t>Netherland's Key Importing Nations with quantity</t>
  </si>
  <si>
    <t>New Zealand's Key Importing Nations with quantity</t>
  </si>
  <si>
    <t>Nicaragua's Key Importing Nations with quantity</t>
  </si>
  <si>
    <t>Niger's Key Importing Nations with quantity</t>
  </si>
  <si>
    <t>Nigeria's Key Importing Nations with quantity</t>
  </si>
  <si>
    <t>North Korea's Key Importing Nations with quantity</t>
  </si>
  <si>
    <t>North Macedonia's Key Importing Nations with quantity</t>
  </si>
  <si>
    <t>Norway's Key Importing Nations with quantity</t>
  </si>
  <si>
    <t>Oman's Key Importing Nations with quantity</t>
  </si>
  <si>
    <t>Pakistan's Key Importing Nations with quantity</t>
  </si>
  <si>
    <t>Palau's Key Importing Nations with quantity</t>
  </si>
  <si>
    <t>Palestine's Key Importing Nations with quantity</t>
  </si>
  <si>
    <t>Panama's Key Importing Nations with quantity</t>
  </si>
  <si>
    <t>PNG's Key Importing Nations with quantity</t>
  </si>
  <si>
    <t>Paraguay's Key Importing Nations with quantity</t>
  </si>
  <si>
    <t>Peru's Key Importing Nations with quantity</t>
  </si>
  <si>
    <t>Philippines's Key Importing Nations with quantity</t>
  </si>
  <si>
    <t>Poland's Key Importing Nations with quantity</t>
  </si>
  <si>
    <t>Portugal's Key Importing Nations with quantity</t>
  </si>
  <si>
    <t>Qatar's Key Importing Nations with quantity</t>
  </si>
  <si>
    <t>Romania's Key Importing Nations with quantity</t>
  </si>
  <si>
    <t>Rwanda's Key Importing Nations with quantity</t>
  </si>
  <si>
    <t>Russia's Key Importing Nations with quantity</t>
  </si>
  <si>
    <t>SKN's Key Importing Nations with quantity</t>
  </si>
  <si>
    <t>St.Lucia's Key Importing Nations with quantity</t>
  </si>
  <si>
    <t>SVG's Key Importing Nations with quantity</t>
  </si>
  <si>
    <t>Samoa's Key Importing Nations with quantity</t>
  </si>
  <si>
    <t>San Marino's Key Importing Nations with quantity</t>
  </si>
  <si>
    <t>STP's Key Importing Nations with quantity</t>
  </si>
  <si>
    <t>Saudi Arabia's Key Importing Nations with quantity</t>
  </si>
  <si>
    <t>Senegal's Key Importing Nations with quantity</t>
  </si>
  <si>
    <t>Serbia's Key Importing Nations with quantity</t>
  </si>
  <si>
    <t>Seychelles's Key Importing Nations with quantity</t>
  </si>
  <si>
    <t>Seirra Leone's Key Importing Nations with quantity</t>
  </si>
  <si>
    <t>Singapore's Key Importing Nations with quantity</t>
  </si>
  <si>
    <t>Slovakia's Key Importing Nations with quantity</t>
  </si>
  <si>
    <t>Slovenia's Key Importing Nations with quantity</t>
  </si>
  <si>
    <t>Solomon Island's Key Importing Nations with quantity</t>
  </si>
  <si>
    <t>Somalia's Key Importing Nations with quantity</t>
  </si>
  <si>
    <t>South Africa's Key Importing Nations with quantity</t>
  </si>
  <si>
    <t>South Korea's Key Importing Nations with quantity</t>
  </si>
  <si>
    <t>South Sudan's Key Importing Nations with quantity</t>
  </si>
  <si>
    <t>Spain's Key Importing Nations with quantity</t>
  </si>
  <si>
    <t>Sri Lanka's Key Importing Nations with quantity</t>
  </si>
  <si>
    <t>Sudan's Key Importing Nations with quantity</t>
  </si>
  <si>
    <t>Suriname's Key Importing Nations with quantity</t>
  </si>
  <si>
    <t>Sweden's Key Importing Nations with quantity</t>
  </si>
  <si>
    <t>Switzerland's Key Importing Nations with quantity</t>
  </si>
  <si>
    <t>Syria's Key Importing Nations with quantity</t>
  </si>
  <si>
    <t>Taiwan's Key Importing Nations with quantity</t>
  </si>
  <si>
    <t>Tajikistan's Key Importing Nations with quantity</t>
  </si>
  <si>
    <t>Tanzania's Key Importing Nations with quantity</t>
  </si>
  <si>
    <t>Thailand's Key Importing Nations with quantity</t>
  </si>
  <si>
    <t>Timor Leste's Key Importing Nations with quantity</t>
  </si>
  <si>
    <t>Togo's Key Importing Nations with quantity</t>
  </si>
  <si>
    <t>Tonga's Key Importing Nations with quantity</t>
  </si>
  <si>
    <t>TnT's Key Importing Nations with quantity</t>
  </si>
  <si>
    <t>Tunisia's Key Importing Nations with quantity</t>
  </si>
  <si>
    <t>Turkey's Key Importing Nations with quantity</t>
  </si>
  <si>
    <t>Turkmenistan's Key Importing Nations with quantity</t>
  </si>
  <si>
    <t>Tuvalu's Key Importing Nations with quantity</t>
  </si>
  <si>
    <t>Uganda's Key Importing Nations with quantity</t>
  </si>
  <si>
    <t>Ukraine's Key Importing Nations with quantity</t>
  </si>
  <si>
    <t>UAE's Key Importing Nations with quantity</t>
  </si>
  <si>
    <t>UK's Key Importing Nations with quantity</t>
  </si>
  <si>
    <t>USA's Key Importing Nations with quantity</t>
  </si>
  <si>
    <t>Uruguay's Key Importing Nations with quantity</t>
  </si>
  <si>
    <t>Uzbekistan's Key Importing Nations with quantity</t>
  </si>
  <si>
    <t>Vanuatu's Key Importing Nations with quantity</t>
  </si>
  <si>
    <t>Venezeula's Key Importing Nations with quantity</t>
  </si>
  <si>
    <t>Vietnam's Key Importing Nations with quantity</t>
  </si>
  <si>
    <t>Yemen's Key Importing Nations with quantity</t>
  </si>
  <si>
    <t>Zambia's Key Importing Nations with quantity</t>
  </si>
  <si>
    <t>Zimbabwe's Key Importing Nations with quantity</t>
  </si>
  <si>
    <t>India's Key Exporting Nations with quantity</t>
  </si>
  <si>
    <t>Afghanistan's Key Exporting Nations with quantity</t>
  </si>
  <si>
    <t>Albania's Key Exporting Nations with quantity</t>
  </si>
  <si>
    <t>Algeria's Key Exporting Nations with quantity</t>
  </si>
  <si>
    <t>Andorra's Key Exporting Nations with quantity</t>
  </si>
  <si>
    <t>Angola's Key Exporting Nations with quantity</t>
  </si>
  <si>
    <t>AaB's Key Exporting Nations with quantity</t>
  </si>
  <si>
    <t>Argentina's Key Exporting Nations with quantity</t>
  </si>
  <si>
    <t>Armenia's Key Exporting Nations with quantity</t>
  </si>
  <si>
    <t>Australia's Key Exporting Nations with quantity</t>
  </si>
  <si>
    <t>Austria's Key Exporting Nations with quantity</t>
  </si>
  <si>
    <t>Azerbaijan's Key Exporting Nations with quantity</t>
  </si>
  <si>
    <t>Bahamas's Key Exporting Nations with quantity</t>
  </si>
  <si>
    <t>Bahrain's Key Exporting Nations with quantity</t>
  </si>
  <si>
    <t>Bangladesh's Key Exporting Nations with quantity</t>
  </si>
  <si>
    <t>Barbados's Key Exporting Nations with quantity</t>
  </si>
  <si>
    <t>Belarus's Key Exporting Nations with quantity</t>
  </si>
  <si>
    <t>Belgium's Key Exporting Nations with quantity</t>
  </si>
  <si>
    <t>Belize's Key Exporting Nations with quantity</t>
  </si>
  <si>
    <t>Benin's Key Exporting Nations with quantity</t>
  </si>
  <si>
    <t>Bhutan's Key Exporting Nations with quantity</t>
  </si>
  <si>
    <t>Bolivia's Key Exporting Nations with quantity</t>
  </si>
  <si>
    <t>BaH's Key Exporting Nations with quantity</t>
  </si>
  <si>
    <t>Botswana's Key Exporting Nations with quantity</t>
  </si>
  <si>
    <t>Brazil's Key Exporting Nations with quantity</t>
  </si>
  <si>
    <t>Brunei's Key Exporting Nations with quantity</t>
  </si>
  <si>
    <t>Bulgaria's Key Exporting Nations with quantity</t>
  </si>
  <si>
    <t>Burkina Faso's Key Exporting Nations with quantity</t>
  </si>
  <si>
    <t>Burundi's Key Exporting Nations with quantity</t>
  </si>
  <si>
    <t>Cabo Verde's Key Exporting Nations with quantity</t>
  </si>
  <si>
    <t>Cambodia's Key Exporting Nations with quantity</t>
  </si>
  <si>
    <t>Cameroon's Key Exporting Nations with quantity</t>
  </si>
  <si>
    <t>Canada's Key Exporting Nations with quantity</t>
  </si>
  <si>
    <t>CAR's Key Exporting Nations with quantity</t>
  </si>
  <si>
    <t>Chad's Key Exporting Nations with quantity</t>
  </si>
  <si>
    <t>Chile's Key Exporting Nations with quantity</t>
  </si>
  <si>
    <t>China's Key Exporting Nations with quantity</t>
  </si>
  <si>
    <t>Columbia's Key Exporting Nations with quantity</t>
  </si>
  <si>
    <t>Comoros's Key Exporting Nations with quantity</t>
  </si>
  <si>
    <t>Congo's Key Exporting Nations with quantity</t>
  </si>
  <si>
    <t>Costa Rica's Key Exporting Nations with quantity</t>
  </si>
  <si>
    <t>Ivory Coast's Key Exporting Nations with quantity</t>
  </si>
  <si>
    <t>Croatia's Key Exporting Nations with quantity</t>
  </si>
  <si>
    <t>Cuba's Key Exporting Nations with quantity</t>
  </si>
  <si>
    <t>Cyprus's Key Exporting Nations with quantity</t>
  </si>
  <si>
    <t>Czechia's Key Exporting Nations with quantity</t>
  </si>
  <si>
    <t>DRC's Key Exporting Nations with quantity</t>
  </si>
  <si>
    <t>Denmark's Key Exporting Nations with quantity</t>
  </si>
  <si>
    <t>Djibouti's Key Exporting Nations with quantity</t>
  </si>
  <si>
    <t>Dominica's Key Exporting Nations with quantity</t>
  </si>
  <si>
    <t>Dominican Republic's Key Exporting Nations with quantity</t>
  </si>
  <si>
    <t>Ecuador's Key Exporting Nations with quantity</t>
  </si>
  <si>
    <t>Egypt's Key Exporting Nations with quantity</t>
  </si>
  <si>
    <t>El Salvador's Key Exporting Nations with quantity</t>
  </si>
  <si>
    <t>Eq.Guinea's Key Exporting Nations with quantity</t>
  </si>
  <si>
    <t>Eritrea's Key Exporting Nations with quantity</t>
  </si>
  <si>
    <t>Estonia's Key Exporting Nations with quantity</t>
  </si>
  <si>
    <t>Eswatini's Key Exporting Nations with quantity</t>
  </si>
  <si>
    <t>Ethiopia's Key Exporting Nations with quantity</t>
  </si>
  <si>
    <t>Fiji's Key Exporting Nations with quantity</t>
  </si>
  <si>
    <t>Finland's Key Exporting Nations with quantity</t>
  </si>
  <si>
    <t>France's Key Exporting Nations with quantity</t>
  </si>
  <si>
    <t>Gabon's Key Exporting Nations with quantity</t>
  </si>
  <si>
    <t>Gambia's Key Exporting Nations with quantity</t>
  </si>
  <si>
    <t>Georgia's Key Exporting Nations with quantity</t>
  </si>
  <si>
    <t>Germany's Key Exporting Nations with quantity</t>
  </si>
  <si>
    <t>Ghana's Key Exporting Nations with quantity</t>
  </si>
  <si>
    <t>Greece's Key Exporting Nations with quantity</t>
  </si>
  <si>
    <t>Grenada's Key Exporting Nations with quantity</t>
  </si>
  <si>
    <t>Guatemala's Key Exporting Nations with quantity</t>
  </si>
  <si>
    <t>Guinea's Key Exporting Nations with quantity</t>
  </si>
  <si>
    <t>Guinea-Bissau's Key Exporting Nations with quantity</t>
  </si>
  <si>
    <t>Guyana's Key Exporting Nations with quantity</t>
  </si>
  <si>
    <t>Holy See's Key Exporting Nations with quantity</t>
  </si>
  <si>
    <t>Honduras's Key Exporting Nations with quantity</t>
  </si>
  <si>
    <t>Hungary's Key Exporting Nations with quantity</t>
  </si>
  <si>
    <t>Iceland's Key Exporting Nations with quantity</t>
  </si>
  <si>
    <t>Indonesia's Key Exporting Nations with quantity</t>
  </si>
  <si>
    <t>Iran's Key Exporting Nations with quantity</t>
  </si>
  <si>
    <t>Iraq's Key Exporting Nations with quantity</t>
  </si>
  <si>
    <t>Ireland's Key Exporting Nations with quantity</t>
  </si>
  <si>
    <t>Israel's Key Exporting Nations with quantity</t>
  </si>
  <si>
    <t>Italy's Key Exporting Nations with quantity</t>
  </si>
  <si>
    <t>Jamaica's Key Exporting Nations with quantity</t>
  </si>
  <si>
    <t>Japan's Key Exporting Nations with quantity</t>
  </si>
  <si>
    <t>Jordan's Key Exporting Nations with quantity</t>
  </si>
  <si>
    <t>Kazakhstan's Key Exporting Nations with quantity</t>
  </si>
  <si>
    <t>Kenya's Key Exporting Nations with quantity</t>
  </si>
  <si>
    <t>Kiribati's Key Exporting Nations with quantity</t>
  </si>
  <si>
    <t>Kuwait's Key Exporting Nations with quantity</t>
  </si>
  <si>
    <t>Kyrgyzstan's Key Exporting Nations with quantity</t>
  </si>
  <si>
    <t>Laos's Key Exporting Nations with quantity</t>
  </si>
  <si>
    <t>Latvia's Key Exporting Nations with quantity</t>
  </si>
  <si>
    <t>Lebanon's Key Exporting Nations with quantity</t>
  </si>
  <si>
    <t>Lesotho's Key Exporting Nations with quantity</t>
  </si>
  <si>
    <t>Liberia's Key Exporting Nations with quantity</t>
  </si>
  <si>
    <t>Libya's Key Exporting Nations with quantity</t>
  </si>
  <si>
    <t>Liechtenstein's Key Exporting Nations with quantity</t>
  </si>
  <si>
    <t>Lithuania's Key Exporting Nations with quantity</t>
  </si>
  <si>
    <t>Luxembourg's Key Exporting Nations with quantity</t>
  </si>
  <si>
    <t>Madagascar's Key Exporting Nations with quantity</t>
  </si>
  <si>
    <t>Malawi's Key Exporting Nations with quantity</t>
  </si>
  <si>
    <t>Malaysia's Key Exporting Nations with quantity</t>
  </si>
  <si>
    <t>Maldives's Key Exporting Nations with quantity</t>
  </si>
  <si>
    <t>Mali's Key Exporting Nations with quantity</t>
  </si>
  <si>
    <t>Malta's Key Exporting Nations with quantity</t>
  </si>
  <si>
    <t>Marshall Islands's Key Exporting Nations with quantity</t>
  </si>
  <si>
    <t>Mauritania's Key Exporting Nations with quantity</t>
  </si>
  <si>
    <t>Mauritius's Key Exporting Nations with quantity</t>
  </si>
  <si>
    <t>Mexico's Key Exporting Nations with quantity</t>
  </si>
  <si>
    <t>Micronesia's Key Exporting Nations with quantity</t>
  </si>
  <si>
    <t>Moldova's Key Exporting Nations with quantity</t>
  </si>
  <si>
    <t>Monaco's Key Exporting Nations with quantity</t>
  </si>
  <si>
    <t>Mongolia's Key Exporting Nations with quantity</t>
  </si>
  <si>
    <t>Montenegro's Key Exporting Nations with quantity</t>
  </si>
  <si>
    <t>Morocco's Key Exporting Nations with quantity</t>
  </si>
  <si>
    <t>Mozambique's Key Exporting Nations with quantity</t>
  </si>
  <si>
    <t>Myanmar's Key Exporting Nations with quantity</t>
  </si>
  <si>
    <t>Namibia's Key Exporting Nations with quantity</t>
  </si>
  <si>
    <t>Nauru's Key Exporting Nations with quantity</t>
  </si>
  <si>
    <t>Nepal's Key Exporting Nations with quantity</t>
  </si>
  <si>
    <t>Netherland's Key Exporting Nations with quantity</t>
  </si>
  <si>
    <t>New Zealand's Key Exporting Nations with quantity</t>
  </si>
  <si>
    <t>Nicaragua's Key Exporting Nations with quantity</t>
  </si>
  <si>
    <t>Niger's Key Exporting Nations with quantity</t>
  </si>
  <si>
    <t>Nigeria's Key Exporting Nations with quantity</t>
  </si>
  <si>
    <t>North Korea's Key Exporting Nations with quantity</t>
  </si>
  <si>
    <t>North Macedonia's Key Exporting Nations with quantity</t>
  </si>
  <si>
    <t>Norway's Key Exporting Nations with quantity</t>
  </si>
  <si>
    <t>Oman's Key Exporting Nations with quantity</t>
  </si>
  <si>
    <t>Pakistan's Key Exporting Nations with quantity</t>
  </si>
  <si>
    <t>Palau's Key Exporting Nations with quantity</t>
  </si>
  <si>
    <t>Palestine's Key Exporting Nations with quantity</t>
  </si>
  <si>
    <t>Panama's Key Exporting Nations with quantity</t>
  </si>
  <si>
    <t>PNG's Key Exporting Nations with quantity</t>
  </si>
  <si>
    <t>Paraguay's Key Exporting Nations with quantity</t>
  </si>
  <si>
    <t>Peru's Key Exporting Nations with quantity</t>
  </si>
  <si>
    <t>Philippines's Key Exporting Nations with quantity</t>
  </si>
  <si>
    <t>Poland's Key Exporting Nations with quantity</t>
  </si>
  <si>
    <t>Portugal's Key Exporting Nations with quantity</t>
  </si>
  <si>
    <t>Qatar's Key Exporting Nations with quantity</t>
  </si>
  <si>
    <t>Romania's Key Exporting Nations with quantity</t>
  </si>
  <si>
    <t>Russia's Key Exporting Nations with quantity</t>
  </si>
  <si>
    <t>Rwanda's Key Exporting Nations with quantity</t>
  </si>
  <si>
    <t>SKN's Key Exporting Nations with quantity</t>
  </si>
  <si>
    <t>St.Lucia's Key Exporting Nations with quantity</t>
  </si>
  <si>
    <t>SVG's Key Exporting Nations with quantity</t>
  </si>
  <si>
    <t>Samoa's Key Exporting Nations with quantity</t>
  </si>
  <si>
    <t>San Marino's Key Exporting Nations with quantity</t>
  </si>
  <si>
    <t>STP's Key Exporting Nations with quantity</t>
  </si>
  <si>
    <t>Saudi Arabia's Key Exporting Nations with quantity</t>
  </si>
  <si>
    <t>Senegal's Key Exporting Nations with quantity</t>
  </si>
  <si>
    <t>Serbia's Key Exporting Nations with quantity</t>
  </si>
  <si>
    <t>Seychelles's Key Exporting Nations with quantity</t>
  </si>
  <si>
    <t>Seirra Leone's Key Exporting Nations with quantity</t>
  </si>
  <si>
    <t>Singapore's Key Exporting Nations with quantity</t>
  </si>
  <si>
    <t>Slovakia's Key Exporting Nations with quantity</t>
  </si>
  <si>
    <t>Slovenia's Key Exporting Nations with quantity</t>
  </si>
  <si>
    <t>Solomon Island's Key Exporting Nations with quantity</t>
  </si>
  <si>
    <t>Somalia's Key Exporting Nations with quantity</t>
  </si>
  <si>
    <t>South Africa's Key Exporting Nations with quantity</t>
  </si>
  <si>
    <t>South Korea's Key Exporting Nations with quantity</t>
  </si>
  <si>
    <t>South Sudan's Key Exporting Nations with quantity</t>
  </si>
  <si>
    <t>Spain's Key Exporting Nations with quantity</t>
  </si>
  <si>
    <t>Sri Lanka's Key Exporting Nations with quantity</t>
  </si>
  <si>
    <t>Sudan's Key Exporting Nations with quantity</t>
  </si>
  <si>
    <t>Suriname's Key Exporting Nations with quantity</t>
  </si>
  <si>
    <t>Sweden's Key Exporting Nations with quantity</t>
  </si>
  <si>
    <t>Switzerland's Key Exporting Nations with quantity</t>
  </si>
  <si>
    <t>Syria's Key Exporting Nations with quantity</t>
  </si>
  <si>
    <t>Taiwan's Key Exporting Nations with quantity</t>
  </si>
  <si>
    <t>Tajikistan's Key Exporting Nations with quantity</t>
  </si>
  <si>
    <t>Tanzania's Key Exporting Nations with quantity</t>
  </si>
  <si>
    <t>Thailand's Key Exporting Nations with quantity</t>
  </si>
  <si>
    <t>Timor Leste's Key Exporting Nations with quantity</t>
  </si>
  <si>
    <t>Togo's Key Exporting Nations with quantity</t>
  </si>
  <si>
    <t>Tonga's Key Exporting Nations with quantity</t>
  </si>
  <si>
    <t>TnT's Key Exporting Nations with quantity</t>
  </si>
  <si>
    <t>Tunisia's Key Exporting Nations with quantity</t>
  </si>
  <si>
    <t>Turkey's Key Exporting Nations with quantity</t>
  </si>
  <si>
    <t>Turkmenistan's Key Exporting Nations with quantity</t>
  </si>
  <si>
    <t>Tuvalu's Key Exporting Nations with quantity</t>
  </si>
  <si>
    <t>Uganda's Key Exporting Nations with quantity</t>
  </si>
  <si>
    <t>Ukraine's Key Exporting Nations with quantity</t>
  </si>
  <si>
    <t>UAE's Key Exporting Nations with quantity</t>
  </si>
  <si>
    <t>UK's Key Exporting Nations with quantity</t>
  </si>
  <si>
    <t>USA's Key Exporting Nations with quantity</t>
  </si>
  <si>
    <t>Uruguay's Key Exporting Nations with quantity</t>
  </si>
  <si>
    <t>Uzbekistan's Key Exporting Nations with quantity</t>
  </si>
  <si>
    <t>Vanuatu's Key Exporting Nations with quantity</t>
  </si>
  <si>
    <t>Venezeula's Key Exporting Nations with quantity</t>
  </si>
  <si>
    <t>Vietnam's Key Exporting Nations with quantity</t>
  </si>
  <si>
    <t>Yemen's Key Exporting Nations with quantity</t>
  </si>
  <si>
    <t>Zambia's Key Exporting Nations with quantity</t>
  </si>
  <si>
    <t>Zimbabwe's Key Exporting Nations with quantity</t>
  </si>
  <si>
    <t>India's Reason for Import</t>
  </si>
  <si>
    <t>Brazil - 6.86MT; Australia - 0.9MT; Oman; Malaysia; South Africa - 4.59MT</t>
  </si>
  <si>
    <t>Faster Steel Growth; Deteriorating Quality of the Domestic Ore due to high alumina and silica levels; Domestic Mining and Logistic Disruptions like prolonged monsoon and regulatory suspensions; Favorable Global Landed Cost Parity</t>
  </si>
  <si>
    <t>Afghanistan's Reason for Import</t>
  </si>
  <si>
    <t>China - 24.21MT; Malaysia - 0.85MT; Indonesia - 0.32MT</t>
  </si>
  <si>
    <t>NA</t>
  </si>
  <si>
    <t>Argentina's reasons for Import</t>
  </si>
  <si>
    <t>Brazil-13.5MT; China-5MY; US-6MT; Paraguay-4.25MT; Germany-0.75MT</t>
  </si>
  <si>
    <t>Inadequate Domestic Reseerves; Low Quality; Robust Local Steel Industry; Geographical Convience to the Brazillian Supply</t>
  </si>
  <si>
    <r>
      <t>India (</t>
    </r>
    <r>
      <rPr>
        <b/>
        <i/>
        <sz val="10"/>
        <color theme="1"/>
        <rFont val="Aptos Narrow"/>
        <family val="2"/>
        <scheme val="minor"/>
      </rPr>
      <t>as of May 26</t>
    </r>
    <r>
      <rPr>
        <b/>
        <i/>
        <sz val="11"/>
        <color theme="1"/>
        <rFont val="Aptos Narrow"/>
        <family val="2"/>
        <scheme val="minor"/>
      </rPr>
      <t>)</t>
    </r>
  </si>
  <si>
    <t>Bauxite - t</t>
  </si>
  <si>
    <t>Copper Ore - t</t>
  </si>
  <si>
    <t>Iron Ore total - '000 t</t>
  </si>
  <si>
    <t>Copper Conc - t</t>
  </si>
  <si>
    <t>Iron Ore Conc - '000 t</t>
  </si>
  <si>
    <t>Iron Ore CLO - '000 t</t>
  </si>
  <si>
    <t>Iron Ore Fines - '000 t</t>
  </si>
  <si>
    <t>Iron Ore lumps - '000 t</t>
  </si>
  <si>
    <t>Gold Ore - t</t>
  </si>
  <si>
    <t>Gold Total - kg</t>
  </si>
  <si>
    <t>Gold Primary - kg</t>
  </si>
  <si>
    <t>Gold By-Primary - kg</t>
  </si>
  <si>
    <t>Silver - kg</t>
  </si>
  <si>
    <t>Chromite - t</t>
  </si>
  <si>
    <t>Manganese Ore - t</t>
  </si>
  <si>
    <t>Zinc Conc - t</t>
  </si>
  <si>
    <t>Lead Conc - t</t>
  </si>
  <si>
    <t>Lead and Zinc Ore - t</t>
  </si>
  <si>
    <t>Tin Conc - kg</t>
  </si>
  <si>
    <t>Coal - '000 t</t>
  </si>
  <si>
    <t>Lignite - '000 t</t>
  </si>
  <si>
    <t>Natural Gas - m.c.m</t>
  </si>
  <si>
    <t>Crude Petroleum / Oil - '000 t</t>
  </si>
  <si>
    <t>Barite - t</t>
  </si>
  <si>
    <t>Diamond - crt</t>
  </si>
  <si>
    <t>Feldspar - t</t>
  </si>
  <si>
    <t>Natural Graphite - t</t>
  </si>
  <si>
    <t>Garnet (abrasive) - t</t>
  </si>
  <si>
    <t>Garnet (gem) - kg</t>
  </si>
  <si>
    <t>Mica - t</t>
  </si>
  <si>
    <t>Magnesite - t</t>
  </si>
  <si>
    <t>Salt (rock) - t</t>
  </si>
  <si>
    <t>Silica / Quartz - t</t>
  </si>
  <si>
    <t>Vermiculite - t</t>
  </si>
  <si>
    <t>Wollastonite - t</t>
  </si>
  <si>
    <t>Phosporite - t</t>
  </si>
  <si>
    <t>Cadmium - t</t>
  </si>
  <si>
    <t>Flurospar - t</t>
  </si>
  <si>
    <t>Iolite - kg</t>
  </si>
  <si>
    <t>Kyanite - t</t>
  </si>
  <si>
    <t>Selenite - t</t>
  </si>
  <si>
    <t>Sulfur - t</t>
  </si>
  <si>
    <t>Silimenite - t</t>
  </si>
  <si>
    <t>Clay - t</t>
  </si>
  <si>
    <t>6863..537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</si>
</sst>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F1C7-BB83-4591-BD20-D73B521D3F1D}">
  <dimension ref="A1:BR14"/>
  <sheetViews>
    <sheetView topLeftCell="AM1" workbookViewId="0">
      <selection activeCell="AP13" sqref="AP13"/>
    </sheetView>
  </sheetViews>
  <sheetFormatPr defaultRowHeight="14.4" x14ac:dyDescent="0.3"/>
  <cols>
    <col min="1" max="1" width="11.33203125" style="1" bestFit="1" customWidth="1"/>
    <col min="2" max="2" width="12.21875" style="1" bestFit="1" customWidth="1"/>
    <col min="3" max="3" width="9.6640625" style="1" bestFit="1" customWidth="1"/>
    <col min="4" max="4" width="16.21875" style="1" bestFit="1" customWidth="1"/>
    <col min="5" max="5" width="21.88671875" style="1" bestFit="1" customWidth="1"/>
    <col min="6" max="6" width="28.44140625" style="1" bestFit="1" customWidth="1"/>
    <col min="7" max="7" width="28.21875" style="1" bestFit="1" customWidth="1"/>
    <col min="8" max="8" width="20.6640625" style="1" bestFit="1" customWidth="1"/>
    <col min="9" max="9" width="29.33203125" style="1" bestFit="1" customWidth="1"/>
    <col min="10" max="10" width="29.109375" style="1" bestFit="1" customWidth="1"/>
    <col min="11" max="11" width="21.6640625" style="1" bestFit="1" customWidth="1"/>
    <col min="12" max="12" width="28.33203125" style="1" bestFit="1" customWidth="1"/>
    <col min="13" max="13" width="27.6640625" style="1" bestFit="1" customWidth="1"/>
    <col min="14" max="14" width="29.21875" style="1" bestFit="1" customWidth="1"/>
    <col min="15" max="15" width="28.5546875" style="1" bestFit="1" customWidth="1"/>
    <col min="16" max="16" width="26.88671875" style="1" bestFit="1" customWidth="1"/>
    <col min="17" max="17" width="26.33203125" style="1" bestFit="1" customWidth="1"/>
    <col min="18" max="18" width="26.77734375" style="1" bestFit="1" customWidth="1"/>
    <col min="19" max="19" width="26.21875" style="1" bestFit="1" customWidth="1"/>
    <col min="20" max="20" width="28.44140625" style="1" bestFit="1" customWidth="1"/>
    <col min="21" max="21" width="27.77734375" style="1" bestFit="1" customWidth="1"/>
    <col min="22" max="22" width="27.21875" style="1" bestFit="1" customWidth="1"/>
    <col min="23" max="23" width="27.6640625" style="1" bestFit="1" customWidth="1"/>
    <col min="24" max="24" width="27.109375" style="1" bestFit="1" customWidth="1"/>
    <col min="25" max="25" width="29.33203125" style="1" bestFit="1" customWidth="1"/>
    <col min="26" max="26" width="20.88671875" style="1" bestFit="1" customWidth="1"/>
    <col min="27" max="27" width="21.88671875" style="1" bestFit="1" customWidth="1"/>
    <col min="28" max="28" width="15.88671875" style="1" bestFit="1" customWidth="1"/>
    <col min="29" max="29" width="31.6640625" style="1" bestFit="1" customWidth="1"/>
    <col min="30" max="30" width="32.5546875" style="1" bestFit="1" customWidth="1"/>
    <col min="31" max="31" width="31.6640625" style="1" bestFit="1" customWidth="1"/>
    <col min="32" max="32" width="32.5546875" style="1" bestFit="1" customWidth="1"/>
    <col min="33" max="33" width="35.21875" style="1" bestFit="1" customWidth="1"/>
    <col min="34" max="34" width="36.109375" style="1" bestFit="1" customWidth="1"/>
    <col min="35" max="35" width="17.33203125" style="1" bestFit="1" customWidth="1"/>
    <col min="36" max="36" width="18.33203125" style="1" bestFit="1" customWidth="1"/>
    <col min="37" max="37" width="26.33203125" style="1" bestFit="1" customWidth="1"/>
    <col min="38" max="38" width="27.21875" style="1" bestFit="1" customWidth="1"/>
    <col min="39" max="39" width="38.109375" style="1" bestFit="1" customWidth="1"/>
    <col min="40" max="40" width="41.21875" style="1" customWidth="1"/>
    <col min="41" max="41" width="39" style="1" bestFit="1" customWidth="1"/>
    <col min="42" max="42" width="39" style="1" customWidth="1"/>
    <col min="43" max="43" width="30.109375" style="1" bestFit="1" customWidth="1"/>
    <col min="44" max="44" width="51.6640625" style="1" bestFit="1" customWidth="1"/>
    <col min="45" max="45" width="27.6640625" style="1" bestFit="1" customWidth="1"/>
    <col min="46" max="46" width="53.109375" style="1" bestFit="1" customWidth="1"/>
    <col min="47" max="47" width="11.88671875" style="1" bestFit="1" customWidth="1"/>
    <col min="48" max="48" width="36" style="1" bestFit="1" customWidth="1"/>
    <col min="49" max="49" width="34" style="1" bestFit="1" customWidth="1"/>
    <col min="50" max="50" width="18.33203125" style="1" bestFit="1" customWidth="1"/>
    <col min="51" max="51" width="82.77734375" style="1" bestFit="1" customWidth="1"/>
    <col min="52" max="52" width="37.77734375" style="1" bestFit="1" customWidth="1"/>
    <col min="53" max="53" width="15" style="1" bestFit="1" customWidth="1"/>
    <col min="54" max="54" width="18.33203125" style="1" bestFit="1" customWidth="1"/>
    <col min="55" max="55" width="36.44140625" style="1" bestFit="1" customWidth="1"/>
    <col min="56" max="56" width="38.88671875" style="1" bestFit="1" customWidth="1"/>
    <col min="57" max="57" width="40.44140625" style="1" bestFit="1" customWidth="1"/>
    <col min="58" max="58" width="39.77734375" style="1" bestFit="1" customWidth="1"/>
    <col min="59" max="59" width="49.44140625" style="1" bestFit="1" customWidth="1"/>
    <col min="60" max="60" width="110.88671875" style="1" bestFit="1" customWidth="1"/>
    <col min="61" max="61" width="39.33203125" style="1" bestFit="1" customWidth="1"/>
    <col min="62" max="62" width="16.5546875" style="1" bestFit="1" customWidth="1"/>
    <col min="63" max="63" width="19.88671875" style="1" bestFit="1" customWidth="1"/>
    <col min="64" max="64" width="34.44140625" style="1" bestFit="1" customWidth="1"/>
    <col min="65" max="65" width="35.21875" style="1" bestFit="1" customWidth="1"/>
    <col min="66" max="66" width="38.33203125" style="1" bestFit="1" customWidth="1"/>
    <col min="67" max="67" width="37.77734375" style="1" bestFit="1" customWidth="1"/>
    <col min="68" max="68" width="54.5546875" style="1" bestFit="1" customWidth="1"/>
    <col min="69" max="69" width="107" style="1" bestFit="1" customWidth="1"/>
    <col min="70" max="70" width="106.6640625" style="1" bestFit="1" customWidth="1"/>
    <col min="71" max="16384" width="8.88671875" style="1"/>
  </cols>
  <sheetData>
    <row r="1" spans="1:70" s="2" customFormat="1" x14ac:dyDescent="0.3">
      <c r="A1" s="2" t="s">
        <v>0</v>
      </c>
      <c r="B1" s="2" t="s">
        <v>1</v>
      </c>
      <c r="C1" s="2" t="s">
        <v>73</v>
      </c>
      <c r="D1" s="2" t="s">
        <v>61</v>
      </c>
      <c r="E1" s="2" t="s">
        <v>66</v>
      </c>
      <c r="F1" s="2" t="s">
        <v>4</v>
      </c>
      <c r="G1" s="2" t="s">
        <v>85</v>
      </c>
      <c r="H1" s="2" t="s">
        <v>87</v>
      </c>
      <c r="I1" s="2" t="s">
        <v>5</v>
      </c>
      <c r="J1" s="2" t="s">
        <v>86</v>
      </c>
      <c r="K1" s="2" t="s">
        <v>96</v>
      </c>
      <c r="L1" s="2" t="s">
        <v>6</v>
      </c>
      <c r="M1" s="2" t="s">
        <v>97</v>
      </c>
      <c r="N1" s="2" t="s">
        <v>7</v>
      </c>
      <c r="O1" s="2" t="s">
        <v>98</v>
      </c>
      <c r="P1" s="2" t="s">
        <v>75</v>
      </c>
      <c r="Q1" s="2" t="s">
        <v>79</v>
      </c>
      <c r="R1" s="2" t="s">
        <v>81</v>
      </c>
      <c r="S1" s="2" t="s">
        <v>84</v>
      </c>
      <c r="T1" s="2" t="s">
        <v>76</v>
      </c>
      <c r="U1" s="2" t="s">
        <v>77</v>
      </c>
      <c r="V1" s="2" t="s">
        <v>80</v>
      </c>
      <c r="W1" s="2" t="s">
        <v>82</v>
      </c>
      <c r="X1" s="2" t="s">
        <v>83</v>
      </c>
      <c r="Y1" s="2" t="s">
        <v>78</v>
      </c>
      <c r="Z1" s="2" t="s">
        <v>8</v>
      </c>
      <c r="AA1" s="2" t="s">
        <v>10</v>
      </c>
      <c r="AB1" s="2" t="s">
        <v>12</v>
      </c>
      <c r="AC1" s="2" t="s">
        <v>13</v>
      </c>
      <c r="AD1" s="2" t="s">
        <v>14</v>
      </c>
      <c r="AE1" s="2" t="s">
        <v>15</v>
      </c>
      <c r="AF1" s="2" t="s">
        <v>16</v>
      </c>
      <c r="AG1" s="2" t="s">
        <v>17</v>
      </c>
      <c r="AH1" s="2" t="s">
        <v>18</v>
      </c>
      <c r="AI1" s="2" t="s">
        <v>19</v>
      </c>
      <c r="AJ1" s="2" t="s">
        <v>20</v>
      </c>
      <c r="AK1" s="2" t="s">
        <v>21</v>
      </c>
      <c r="AL1" s="2" t="s">
        <v>22</v>
      </c>
      <c r="AM1" s="2" t="s">
        <v>116</v>
      </c>
      <c r="AN1" s="2" t="s">
        <v>110</v>
      </c>
      <c r="AO1" s="2" t="s">
        <v>109</v>
      </c>
      <c r="AP1" s="2" t="s">
        <v>112</v>
      </c>
      <c r="AQ1" s="2" t="s">
        <v>25</v>
      </c>
      <c r="AR1" s="2" t="s">
        <v>23</v>
      </c>
      <c r="AS1" s="2" t="s">
        <v>26</v>
      </c>
      <c r="AT1" s="2" t="s">
        <v>24</v>
      </c>
      <c r="AU1" s="2" t="s">
        <v>29</v>
      </c>
      <c r="AV1" s="2" t="s">
        <v>63</v>
      </c>
      <c r="AW1" s="2" t="s">
        <v>64</v>
      </c>
      <c r="AX1" s="2" t="s">
        <v>65</v>
      </c>
      <c r="AY1" s="2" t="s">
        <v>62</v>
      </c>
      <c r="AZ1" s="2" t="s">
        <v>30</v>
      </c>
      <c r="BA1" s="2" t="s">
        <v>32</v>
      </c>
      <c r="BB1" s="2" t="s">
        <v>33</v>
      </c>
      <c r="BC1" s="2" t="s">
        <v>36</v>
      </c>
      <c r="BD1" s="2" t="s">
        <v>46</v>
      </c>
      <c r="BE1" s="2" t="s">
        <v>37</v>
      </c>
      <c r="BF1" s="2" t="s">
        <v>47</v>
      </c>
      <c r="BG1" s="2" t="s">
        <v>40</v>
      </c>
      <c r="BH1" s="2" t="s">
        <v>59</v>
      </c>
      <c r="BI1" s="2" t="s">
        <v>31</v>
      </c>
      <c r="BJ1" s="2" t="s">
        <v>34</v>
      </c>
      <c r="BK1" s="2" t="s">
        <v>35</v>
      </c>
      <c r="BL1" s="2" t="s">
        <v>38</v>
      </c>
      <c r="BM1" s="2" t="s">
        <v>52</v>
      </c>
      <c r="BN1" s="2" t="s">
        <v>39</v>
      </c>
      <c r="BO1" s="2" t="s">
        <v>55</v>
      </c>
      <c r="BP1" s="2" t="s">
        <v>41</v>
      </c>
      <c r="BQ1" s="2" t="s">
        <v>58</v>
      </c>
      <c r="BR1" s="2" t="s">
        <v>68</v>
      </c>
    </row>
    <row r="2" spans="1:70" ht="57.6" x14ac:dyDescent="0.3">
      <c r="A2" s="1" t="s">
        <v>2</v>
      </c>
      <c r="B2" s="1" t="s">
        <v>3</v>
      </c>
      <c r="C2" s="1" t="s">
        <v>74</v>
      </c>
      <c r="D2" s="1" t="s">
        <v>67</v>
      </c>
      <c r="E2" s="3" t="s">
        <v>69</v>
      </c>
      <c r="F2" s="1">
        <v>147.80000000000001</v>
      </c>
      <c r="G2" s="1">
        <v>55.53</v>
      </c>
      <c r="H2" s="1">
        <f>(G2/F2)*100</f>
        <v>37.571041948579158</v>
      </c>
      <c r="I2" s="1">
        <v>4.5199999999999996</v>
      </c>
      <c r="J2" s="1">
        <v>1.21</v>
      </c>
      <c r="K2" s="1">
        <f>(J2/I2)*100</f>
        <v>26.769911504424783</v>
      </c>
      <c r="L2" s="1">
        <v>3287263</v>
      </c>
      <c r="M2" s="1">
        <v>21.46</v>
      </c>
      <c r="N2" s="1">
        <v>652864</v>
      </c>
      <c r="O2" s="1">
        <v>2.35</v>
      </c>
      <c r="P2" s="1" t="s">
        <v>88</v>
      </c>
      <c r="Q2" s="1">
        <f>(36155+5)/2</f>
        <v>18080</v>
      </c>
      <c r="R2" s="1" t="s">
        <v>92</v>
      </c>
      <c r="S2" s="1" t="s">
        <v>93</v>
      </c>
      <c r="T2" s="1">
        <v>497</v>
      </c>
      <c r="U2" s="1" t="s">
        <v>89</v>
      </c>
      <c r="V2" s="1">
        <f>(12900+5)/2</f>
        <v>6452.5</v>
      </c>
      <c r="W2" s="1" t="s">
        <v>94</v>
      </c>
      <c r="X2" s="1" t="s">
        <v>95</v>
      </c>
      <c r="Y2" s="1">
        <v>69</v>
      </c>
      <c r="Z2" s="1" t="s">
        <v>9</v>
      </c>
      <c r="AA2" s="1" t="s">
        <v>11</v>
      </c>
      <c r="AB2" s="1">
        <v>1.44</v>
      </c>
      <c r="AC2" s="1">
        <v>3956070</v>
      </c>
      <c r="AD2" s="1">
        <v>19662</v>
      </c>
      <c r="AE2" s="1">
        <v>3760814</v>
      </c>
      <c r="AF2" s="1">
        <v>17778.5</v>
      </c>
      <c r="AG2" s="1">
        <v>4153191</v>
      </c>
      <c r="AH2" s="1">
        <v>19660</v>
      </c>
      <c r="AI2" s="1">
        <f>(($AC$2-$AE$2)/$AE$2)*100</f>
        <v>5.1918547420850913</v>
      </c>
      <c r="AJ2" s="1">
        <f>((AD2-AF2)/AF2)*100</f>
        <v>10.594257108304975</v>
      </c>
      <c r="AK2" s="1">
        <f>(($AG$2-$AC$2)/$AC$2)*100</f>
        <v>4.982748030242135</v>
      </c>
      <c r="AL2" s="1">
        <f>((AH2-AD2)/AD2)*100</f>
        <v>-1.0171905197843556E-2</v>
      </c>
      <c r="AM2" s="3" t="s">
        <v>126</v>
      </c>
      <c r="AN2" s="3" t="s">
        <v>111</v>
      </c>
      <c r="AO2" s="3" t="s">
        <v>114</v>
      </c>
      <c r="AP2" s="3" t="s">
        <v>115</v>
      </c>
      <c r="AQ2" s="1">
        <v>253.63</v>
      </c>
      <c r="AR2" s="3" t="s">
        <v>27</v>
      </c>
      <c r="AS2" s="1">
        <v>654.22</v>
      </c>
      <c r="AT2" s="3" t="s">
        <v>28</v>
      </c>
      <c r="AU2" s="1">
        <f>AQ2-AS2</f>
        <v>-400.59000000000003</v>
      </c>
      <c r="AV2" s="1">
        <v>266.93</v>
      </c>
      <c r="AW2" s="1">
        <v>718.95</v>
      </c>
      <c r="AX2" s="1">
        <f>AV2-AW2</f>
        <v>-452.02000000000004</v>
      </c>
      <c r="AY2" s="3" t="s">
        <v>71</v>
      </c>
      <c r="AZ2" s="4">
        <v>18267</v>
      </c>
      <c r="BA2" s="1" t="s">
        <v>42</v>
      </c>
      <c r="BB2" s="1" t="s">
        <v>2</v>
      </c>
      <c r="BC2" s="1" t="s">
        <v>43</v>
      </c>
      <c r="BD2" s="1" t="s">
        <v>44</v>
      </c>
      <c r="BE2" s="1" t="s">
        <v>45</v>
      </c>
      <c r="BF2" s="1" t="s">
        <v>48</v>
      </c>
      <c r="BG2" s="3" t="s">
        <v>49</v>
      </c>
      <c r="BH2" s="3" t="s">
        <v>50</v>
      </c>
      <c r="BI2" s="4">
        <v>46266</v>
      </c>
      <c r="BJ2" s="1" t="s">
        <v>51</v>
      </c>
      <c r="BK2" s="1" t="s">
        <v>51</v>
      </c>
      <c r="BL2" s="1" t="s">
        <v>53</v>
      </c>
      <c r="BM2" s="1" t="s">
        <v>44</v>
      </c>
      <c r="BN2" s="1" t="s">
        <v>54</v>
      </c>
      <c r="BO2" s="1" t="s">
        <v>56</v>
      </c>
      <c r="BP2" s="3" t="s">
        <v>57</v>
      </c>
      <c r="BQ2" s="3" t="s">
        <v>60</v>
      </c>
      <c r="BR2" s="3" t="s">
        <v>135</v>
      </c>
    </row>
    <row r="3" spans="1:70" ht="57.6" x14ac:dyDescent="0.3">
      <c r="A3" s="1" t="s">
        <v>2</v>
      </c>
      <c r="B3" s="1" t="s">
        <v>72</v>
      </c>
      <c r="C3" s="1" t="s">
        <v>99</v>
      </c>
      <c r="F3" s="1">
        <v>147.80000000000001</v>
      </c>
      <c r="G3" s="1">
        <v>55.53</v>
      </c>
      <c r="H3" s="1">
        <f>(G3/F3)*100</f>
        <v>37.571041948579158</v>
      </c>
      <c r="I3" s="1">
        <v>0.23350000000000001</v>
      </c>
      <c r="J3" s="1">
        <f>(0.14+0.2)/2</f>
        <v>0.17</v>
      </c>
      <c r="K3" s="1">
        <f>(J3/I3)*100</f>
        <v>72.805139186295506</v>
      </c>
      <c r="L3" s="1">
        <v>3287263</v>
      </c>
      <c r="M3" s="1">
        <v>21.46</v>
      </c>
      <c r="N3" s="1">
        <v>27398</v>
      </c>
      <c r="O3" s="1">
        <v>2.95</v>
      </c>
      <c r="P3" s="1" t="s">
        <v>88</v>
      </c>
      <c r="Q3" s="1">
        <f>(36155+5)/2</f>
        <v>18080</v>
      </c>
      <c r="R3" s="1" t="s">
        <v>92</v>
      </c>
      <c r="S3" s="1" t="s">
        <v>93</v>
      </c>
      <c r="T3" s="1">
        <v>497</v>
      </c>
      <c r="U3" s="1" t="s">
        <v>90</v>
      </c>
      <c r="V3" s="1">
        <f>(562+21)/2</f>
        <v>291.5</v>
      </c>
      <c r="W3" s="1">
        <v>23000</v>
      </c>
      <c r="X3" s="1">
        <v>28.5</v>
      </c>
      <c r="Y3" s="1">
        <f>(81+101)/2</f>
        <v>91</v>
      </c>
      <c r="Z3" s="1" t="s">
        <v>9</v>
      </c>
      <c r="AA3" s="1" t="s">
        <v>91</v>
      </c>
      <c r="AB3" s="1">
        <v>1.2</v>
      </c>
      <c r="AC3" s="1">
        <v>3956070</v>
      </c>
      <c r="AD3" s="1">
        <v>30540</v>
      </c>
      <c r="AE3" s="1">
        <v>3760814</v>
      </c>
      <c r="AF3" s="1">
        <v>27037</v>
      </c>
      <c r="AG3" s="1">
        <v>4153191</v>
      </c>
      <c r="AH3" s="1">
        <v>33330</v>
      </c>
      <c r="AI3" s="1">
        <f>(($AC$2-$AE$2)/$AE$2)*100</f>
        <v>5.1918547420850913</v>
      </c>
      <c r="AJ3" s="1">
        <f>((AD3-AF3)/AF3)*100</f>
        <v>12.956319118245368</v>
      </c>
      <c r="AK3" s="1">
        <f>(($AG$2-$AC$2)/$AC$2)*100</f>
        <v>4.982748030242135</v>
      </c>
      <c r="AL3" s="1">
        <f>((AH3-AD3)/AD3)*100</f>
        <v>9.1355599214145382</v>
      </c>
      <c r="AM3" s="3" t="s">
        <v>108</v>
      </c>
      <c r="AN3" s="3" t="s">
        <v>111</v>
      </c>
      <c r="AO3" s="3" t="s">
        <v>113</v>
      </c>
      <c r="AQ3" s="1">
        <v>8.18</v>
      </c>
      <c r="AR3" s="3" t="s">
        <v>101</v>
      </c>
      <c r="AS3" s="1">
        <v>0.56000000000000005</v>
      </c>
      <c r="AT3" s="3" t="s">
        <v>100</v>
      </c>
      <c r="AU3" s="1">
        <f>AQ3-AS3</f>
        <v>7.6199999999999992</v>
      </c>
      <c r="AV3" s="1" t="s">
        <v>70</v>
      </c>
      <c r="AZ3" s="4">
        <v>20517</v>
      </c>
      <c r="BA3" s="1" t="s">
        <v>102</v>
      </c>
      <c r="BB3" s="1" t="s">
        <v>72</v>
      </c>
      <c r="BC3" s="1" t="s">
        <v>43</v>
      </c>
      <c r="BD3" s="1" t="s">
        <v>44</v>
      </c>
      <c r="BE3" s="1" t="s">
        <v>103</v>
      </c>
      <c r="BF3" s="1" t="s">
        <v>105</v>
      </c>
      <c r="BG3" s="3" t="s">
        <v>104</v>
      </c>
      <c r="BH3" s="3" t="s">
        <v>106</v>
      </c>
      <c r="BR3" s="3" t="s">
        <v>136</v>
      </c>
    </row>
    <row r="4" spans="1:70" x14ac:dyDescent="0.3">
      <c r="A4" s="1" t="s">
        <v>2</v>
      </c>
      <c r="B4" s="1" t="s">
        <v>107</v>
      </c>
    </row>
    <row r="5" spans="1:70" x14ac:dyDescent="0.3">
      <c r="A5" s="1" t="s">
        <v>2</v>
      </c>
      <c r="B5" s="1" t="s">
        <v>117</v>
      </c>
      <c r="AO5" s="1" t="s">
        <v>130</v>
      </c>
      <c r="BR5" s="3"/>
    </row>
    <row r="6" spans="1:70" x14ac:dyDescent="0.3">
      <c r="A6" s="1" t="s">
        <v>2</v>
      </c>
      <c r="B6" s="1" t="s">
        <v>118</v>
      </c>
      <c r="AO6" s="1" t="s">
        <v>119</v>
      </c>
    </row>
    <row r="7" spans="1:70" x14ac:dyDescent="0.3">
      <c r="B7" s="1" t="s">
        <v>132</v>
      </c>
      <c r="AO7" s="1" t="s">
        <v>133</v>
      </c>
    </row>
    <row r="8" spans="1:70" x14ac:dyDescent="0.3">
      <c r="A8" s="1" t="s">
        <v>2</v>
      </c>
      <c r="B8" s="1" t="s">
        <v>120</v>
      </c>
      <c r="AO8" s="1" t="s">
        <v>121</v>
      </c>
      <c r="BR8" s="3"/>
    </row>
    <row r="9" spans="1:70" x14ac:dyDescent="0.3">
      <c r="A9" s="1" t="s">
        <v>2</v>
      </c>
      <c r="B9" s="1" t="s">
        <v>124</v>
      </c>
      <c r="AO9" s="1" t="s">
        <v>134</v>
      </c>
      <c r="BR9" s="3"/>
    </row>
    <row r="10" spans="1:70" x14ac:dyDescent="0.3">
      <c r="A10" s="1" t="s">
        <v>2</v>
      </c>
      <c r="B10" s="1" t="s">
        <v>128</v>
      </c>
      <c r="AO10" s="1" t="s">
        <v>129</v>
      </c>
      <c r="BR10" s="3"/>
    </row>
    <row r="11" spans="1:70" x14ac:dyDescent="0.3">
      <c r="B11" s="1" t="s">
        <v>131</v>
      </c>
      <c r="AO11" s="1" t="s">
        <v>133</v>
      </c>
      <c r="BR11" s="3"/>
    </row>
    <row r="12" spans="1:70" x14ac:dyDescent="0.3">
      <c r="A12" s="1" t="s">
        <v>2</v>
      </c>
      <c r="B12" s="1" t="s">
        <v>127</v>
      </c>
      <c r="AO12" s="1" t="s">
        <v>129</v>
      </c>
      <c r="BR12" s="3"/>
    </row>
    <row r="13" spans="1:70" x14ac:dyDescent="0.3">
      <c r="A13" s="1" t="s">
        <v>2</v>
      </c>
      <c r="B13" s="1" t="s">
        <v>122</v>
      </c>
      <c r="AO13" s="1" t="s">
        <v>125</v>
      </c>
      <c r="BR13" s="3"/>
    </row>
    <row r="14" spans="1:70" x14ac:dyDescent="0.3">
      <c r="A14" s="1" t="s">
        <v>2</v>
      </c>
      <c r="B14" s="1" t="s">
        <v>123</v>
      </c>
      <c r="AO14" s="1" t="s">
        <v>125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5F08-3C42-499A-8C19-59C1FAC6E585}">
  <dimension ref="A1:GR83"/>
  <sheetViews>
    <sheetView topLeftCell="B1" workbookViewId="0">
      <selection activeCell="L2" sqref="L2"/>
    </sheetView>
  </sheetViews>
  <sheetFormatPr defaultRowHeight="14.4" x14ac:dyDescent="0.3"/>
  <cols>
    <col min="1" max="1" width="19" style="1" bestFit="1" customWidth="1"/>
    <col min="2" max="2" width="111.109375" style="1" customWidth="1"/>
    <col min="3" max="3" width="5.77734375" style="1" bestFit="1" customWidth="1"/>
    <col min="4" max="4" width="11.21875" style="1" bestFit="1" customWidth="1"/>
    <col min="5" max="5" width="7.77734375" style="1" bestFit="1" customWidth="1"/>
    <col min="6" max="6" width="7.33203125" style="1" bestFit="1" customWidth="1"/>
    <col min="7" max="7" width="8.21875" style="1" bestFit="1" customWidth="1"/>
    <col min="8" max="8" width="7.21875" style="1" bestFit="1" customWidth="1"/>
    <col min="9" max="9" width="18.6640625" style="1" bestFit="1" customWidth="1"/>
    <col min="10" max="10" width="9.44140625" style="1" bestFit="1" customWidth="1"/>
    <col min="11" max="11" width="8.44140625" style="1" bestFit="1" customWidth="1"/>
    <col min="12" max="12" width="9" style="1" bestFit="1" customWidth="1"/>
    <col min="13" max="13" width="7.44140625" style="1" bestFit="1" customWidth="1"/>
    <col min="14" max="14" width="10.109375" style="1" bestFit="1" customWidth="1"/>
    <col min="15" max="15" width="9.21875" style="1" bestFit="1" customWidth="1"/>
    <col min="16" max="16" width="7.88671875" style="1" bestFit="1" customWidth="1"/>
    <col min="17" max="17" width="11.21875" style="1" bestFit="1" customWidth="1"/>
    <col min="18" max="18" width="9.44140625" style="1" bestFit="1" customWidth="1"/>
    <col min="19" max="19" width="7.88671875" style="1" bestFit="1" customWidth="1"/>
    <col min="20" max="20" width="8.21875" style="1" bestFit="1" customWidth="1"/>
    <col min="21" max="21" width="6.5546875" style="1" bestFit="1" customWidth="1"/>
    <col min="22" max="22" width="6.21875" style="1" bestFit="1" customWidth="1"/>
    <col min="23" max="23" width="7.44140625" style="1" bestFit="1" customWidth="1"/>
    <col min="24" max="24" width="7.109375" style="1" bestFit="1" customWidth="1"/>
    <col min="25" max="25" width="21.109375" style="1" bestFit="1" customWidth="1"/>
    <col min="26" max="26" width="9.6640625" style="1" bestFit="1" customWidth="1"/>
    <col min="27" max="27" width="6.21875" style="1" bestFit="1" customWidth="1"/>
    <col min="28" max="28" width="6.88671875" style="1" bestFit="1" customWidth="1"/>
    <col min="29" max="29" width="8.33203125" style="1" bestFit="1" customWidth="1"/>
    <col min="30" max="30" width="12.109375" style="1" bestFit="1" customWidth="1"/>
    <col min="31" max="31" width="8" style="1" bestFit="1" customWidth="1"/>
    <col min="32" max="32" width="11.109375" style="1" bestFit="1" customWidth="1"/>
    <col min="33" max="33" width="10" style="1" bestFit="1" customWidth="1"/>
    <col min="34" max="34" width="10.109375" style="1" bestFit="1" customWidth="1"/>
    <col min="35" max="35" width="8" style="1" bestFit="1" customWidth="1"/>
    <col min="36" max="36" width="21.6640625" style="1" bestFit="1" customWidth="1"/>
    <col min="37" max="37" width="6" style="1" bestFit="1" customWidth="1"/>
    <col min="38" max="38" width="5.88671875" style="1" bestFit="1" customWidth="1"/>
    <col min="39" max="39" width="6.33203125" style="1" bestFit="1" customWidth="1"/>
    <col min="40" max="40" width="9.44140625" style="1" bestFit="1" customWidth="1"/>
    <col min="41" max="41" width="9" style="1" bestFit="1" customWidth="1"/>
    <col min="42" max="42" width="7.109375" style="1" bestFit="1" customWidth="1"/>
    <col min="43" max="43" width="10.33203125" style="1" bestFit="1" customWidth="1"/>
    <col min="44" max="44" width="11.88671875" style="1" bestFit="1" customWidth="1"/>
    <col min="45" max="45" width="7.6640625" style="1" bestFit="1" customWidth="1"/>
    <col min="46" max="46" width="5.88671875" style="1" bestFit="1" customWidth="1"/>
    <col min="47" max="47" width="7.33203125" style="1" bestFit="1" customWidth="1"/>
    <col min="48" max="48" width="8.109375" style="1" bestFit="1" customWidth="1"/>
    <col min="49" max="49" width="26.44140625" style="1" bestFit="1" customWidth="1"/>
    <col min="50" max="50" width="9.109375" style="1" bestFit="1" customWidth="1"/>
    <col min="51" max="51" width="7.88671875" style="1" bestFit="1" customWidth="1"/>
    <col min="52" max="52" width="9.33203125" style="1" bestFit="1" customWidth="1"/>
    <col min="53" max="53" width="18" style="1" bestFit="1" customWidth="1"/>
    <col min="54" max="54" width="8.44140625" style="1" bestFit="1" customWidth="1"/>
    <col min="55" max="55" width="6.109375" style="1" bestFit="1" customWidth="1"/>
    <col min="56" max="56" width="10.88671875" style="1" bestFit="1" customWidth="1"/>
    <col min="57" max="57" width="16.21875" style="1" bestFit="1" customWidth="1"/>
    <col min="58" max="58" width="7.109375" style="1" bestFit="1" customWidth="1"/>
    <col min="59" max="59" width="7.6640625" style="1" bestFit="1" customWidth="1"/>
    <col min="60" max="60" width="8.44140625" style="1" bestFit="1" customWidth="1"/>
    <col min="61" max="61" width="8.21875" style="1" bestFit="1" customWidth="1"/>
    <col min="62" max="62" width="14.88671875" style="1" bestFit="1" customWidth="1"/>
    <col min="63" max="63" width="4" style="1" bestFit="1" customWidth="1"/>
    <col min="64" max="64" width="7.77734375" style="1" bestFit="1" customWidth="1"/>
    <col min="65" max="65" width="7.33203125" style="1" bestFit="1" customWidth="1"/>
    <col min="66" max="66" width="6.88671875" style="1" bestFit="1" customWidth="1"/>
    <col min="67" max="68" width="7.88671875" style="1" bestFit="1" customWidth="1"/>
    <col min="69" max="69" width="9" style="1" bestFit="1" customWidth="1"/>
    <col min="70" max="70" width="6.88671875" style="1" bestFit="1" customWidth="1"/>
    <col min="71" max="71" width="7.5546875" style="1" bestFit="1" customWidth="1"/>
    <col min="72" max="72" width="8.6640625" style="1" bestFit="1" customWidth="1"/>
    <col min="73" max="73" width="10.6640625" style="1" bestFit="1" customWidth="1"/>
    <col min="74" max="74" width="7.33203125" style="1" bestFit="1" customWidth="1"/>
    <col min="75" max="75" width="13.44140625" style="1" bestFit="1" customWidth="1"/>
    <col min="76" max="76" width="7.77734375" style="1" bestFit="1" customWidth="1"/>
    <col min="77" max="77" width="5.5546875" style="1" bestFit="1" customWidth="1"/>
    <col min="78" max="78" width="8.88671875" style="1"/>
    <col min="79" max="79" width="9.6640625" style="1" bestFit="1" customWidth="1"/>
    <col min="80" max="80" width="8.44140625" style="1" bestFit="1" customWidth="1"/>
    <col min="81" max="81" width="7.88671875" style="1" bestFit="1" customWidth="1"/>
    <col min="82" max="82" width="9.6640625" style="1" bestFit="1" customWidth="1"/>
    <col min="83" max="83" width="4.88671875" style="1" bestFit="1" customWidth="1"/>
    <col min="84" max="84" width="5" style="1" bestFit="1" customWidth="1"/>
    <col min="85" max="85" width="7.5546875" style="1" bestFit="1" customWidth="1"/>
    <col min="86" max="86" width="6.33203125" style="1" bestFit="1" customWidth="1"/>
    <col min="87" max="87" width="5.33203125" style="1" bestFit="1" customWidth="1"/>
    <col min="88" max="88" width="8.33203125" style="1" bestFit="1" customWidth="1"/>
    <col min="89" max="89" width="6.33203125" style="1" bestFit="1" customWidth="1"/>
    <col min="90" max="90" width="6.77734375" style="1" bestFit="1" customWidth="1"/>
    <col min="91" max="91" width="7.109375" style="1" bestFit="1" customWidth="1"/>
    <col min="92" max="92" width="11.109375" style="1" bestFit="1" customWidth="1"/>
    <col min="93" max="93" width="6.6640625" style="1" bestFit="1" customWidth="1"/>
    <col min="94" max="94" width="7.44140625" style="1" bestFit="1" customWidth="1"/>
    <col min="95" max="95" width="7.21875" style="1" bestFit="1" customWidth="1"/>
    <col min="96" max="96" width="10.44140625" style="1" bestFit="1" customWidth="1"/>
    <col min="97" max="97" width="5.44140625" style="1" bestFit="1" customWidth="1"/>
    <col min="98" max="98" width="6.5546875" style="1" bestFit="1" customWidth="1"/>
    <col min="99" max="99" width="8.5546875" style="1" bestFit="1" customWidth="1"/>
    <col min="100" max="100" width="8.109375" style="1" bestFit="1" customWidth="1"/>
    <col min="101" max="101" width="7.109375" style="1" bestFit="1" customWidth="1"/>
    <col min="102" max="102" width="5.88671875" style="1" bestFit="1" customWidth="1"/>
    <col min="103" max="103" width="12.6640625" style="1" bestFit="1" customWidth="1"/>
    <col min="104" max="104" width="9.109375" style="1" bestFit="1" customWidth="1"/>
    <col min="105" max="105" width="10.5546875" style="1" bestFit="1" customWidth="1"/>
    <col min="106" max="106" width="11.6640625" style="1" bestFit="1" customWidth="1"/>
    <col min="107" max="107" width="7.44140625" style="1" bestFit="1" customWidth="1"/>
    <col min="108" max="108" width="8.88671875" style="1"/>
    <col min="109" max="109" width="9" style="1" bestFit="1" customWidth="1"/>
    <col min="110" max="110" width="5.109375" style="1" bestFit="1" customWidth="1"/>
    <col min="111" max="111" width="6.33203125" style="1" bestFit="1" customWidth="1"/>
    <col min="112" max="112" width="15.21875" style="1" bestFit="1" customWidth="1"/>
    <col min="113" max="113" width="10.33203125" style="1" bestFit="1" customWidth="1"/>
    <col min="114" max="114" width="9.21875" style="1" bestFit="1" customWidth="1"/>
    <col min="115" max="115" width="7.44140625" style="1" bestFit="1" customWidth="1"/>
    <col min="116" max="116" width="10.5546875" style="1" bestFit="1" customWidth="1"/>
    <col min="117" max="117" width="8.6640625" style="1" bestFit="1" customWidth="1"/>
    <col min="118" max="118" width="8.109375" style="1" bestFit="1" customWidth="1"/>
    <col min="119" max="119" width="9" style="1" bestFit="1" customWidth="1"/>
    <col min="120" max="120" width="11.33203125" style="1" bestFit="1" customWidth="1"/>
    <col min="121" max="121" width="8.77734375" style="1" bestFit="1" customWidth="1"/>
    <col min="122" max="122" width="12" style="1" bestFit="1" customWidth="1"/>
    <col min="123" max="123" width="9.21875" style="1" bestFit="1" customWidth="1"/>
    <col min="124" max="124" width="8.44140625" style="1" bestFit="1" customWidth="1"/>
    <col min="125" max="125" width="6.6640625" style="1" bestFit="1" customWidth="1"/>
    <col min="126" max="126" width="6.5546875" style="1" bestFit="1" customWidth="1"/>
    <col min="127" max="127" width="11.88671875" style="1" bestFit="1" customWidth="1"/>
    <col min="128" max="128" width="12.33203125" style="1" bestFit="1" customWidth="1"/>
    <col min="129" max="129" width="10" style="1" bestFit="1" customWidth="1"/>
    <col min="130" max="130" width="6" style="1" bestFit="1" customWidth="1"/>
    <col min="131" max="131" width="7.44140625" style="1" bestFit="1" customWidth="1"/>
    <col min="132" max="132" width="11.44140625" style="1" bestFit="1" customWidth="1"/>
    <col min="133" max="133" width="15.77734375" style="1" bestFit="1" customWidth="1"/>
    <col min="134" max="134" width="7.88671875" style="1" bestFit="1" customWidth="1"/>
    <col min="135" max="135" width="6.5546875" style="1" bestFit="1" customWidth="1"/>
    <col min="136" max="136" width="8.77734375" style="1" bestFit="1" customWidth="1"/>
    <col min="137" max="137" width="6.33203125" style="1" bestFit="1" customWidth="1"/>
    <col min="138" max="138" width="14.21875" style="1" bestFit="1" customWidth="1"/>
    <col min="139" max="139" width="8.33203125" style="1" bestFit="1" customWidth="1"/>
    <col min="140" max="140" width="16.88671875" style="1" bestFit="1" customWidth="1"/>
    <col min="141" max="141" width="9.21875" style="1" bestFit="1" customWidth="1"/>
    <col min="142" max="142" width="5.44140625" style="1" bestFit="1" customWidth="1"/>
    <col min="143" max="143" width="10.5546875" style="1" bestFit="1" customWidth="1"/>
    <col min="144" max="144" width="7.44140625" style="1" bestFit="1" customWidth="1"/>
    <col min="145" max="145" width="8.5546875" style="1" bestFit="1" customWidth="1"/>
    <col min="146" max="146" width="6.33203125" style="1" bestFit="1" customWidth="1"/>
    <col min="147" max="147" width="8.77734375" style="1" bestFit="1" customWidth="1"/>
    <col min="148" max="148" width="7" style="1" bestFit="1" customWidth="1"/>
    <col min="149" max="149" width="8.21875" style="1" bestFit="1" customWidth="1"/>
    <col min="150" max="150" width="18.5546875" style="1" bestFit="1" customWidth="1"/>
    <col min="151" max="151" width="10.5546875" style="1" bestFit="1" customWidth="1"/>
    <col min="152" max="152" width="29" style="1" bestFit="1" customWidth="1"/>
    <col min="153" max="153" width="7.33203125" style="1" bestFit="1" customWidth="1"/>
    <col min="154" max="154" width="10.6640625" style="1" bestFit="1" customWidth="1"/>
    <col min="155" max="155" width="20.21875" style="1" bestFit="1" customWidth="1"/>
    <col min="156" max="156" width="11.88671875" style="1" bestFit="1" customWidth="1"/>
    <col min="157" max="157" width="8.21875" style="1" bestFit="1" customWidth="1"/>
    <col min="158" max="158" width="6.88671875" style="1" bestFit="1" customWidth="1"/>
    <col min="159" max="159" width="10.6640625" style="1" bestFit="1" customWidth="1"/>
    <col min="160" max="160" width="11.77734375" style="1" bestFit="1" customWidth="1"/>
    <col min="161" max="161" width="9.77734375" style="1" bestFit="1" customWidth="1"/>
    <col min="162" max="163" width="8.6640625" style="1" bestFit="1" customWidth="1"/>
    <col min="164" max="164" width="15.33203125" style="1" bestFit="1" customWidth="1"/>
    <col min="165" max="165" width="8.33203125" style="1" bestFit="1" customWidth="1"/>
    <col min="166" max="167" width="11.5546875" style="1" bestFit="1" customWidth="1"/>
    <col min="168" max="168" width="12" style="1" bestFit="1" customWidth="1"/>
    <col min="169" max="169" width="6.21875" style="1" bestFit="1" customWidth="1"/>
    <col min="170" max="170" width="9.109375" style="1" bestFit="1" customWidth="1"/>
    <col min="171" max="171" width="6.88671875" style="1" bestFit="1" customWidth="1"/>
    <col min="172" max="172" width="9.44140625" style="1" bestFit="1" customWidth="1"/>
    <col min="173" max="173" width="8.21875" style="1" bestFit="1" customWidth="1"/>
    <col min="174" max="174" width="11.33203125" style="1" bestFit="1" customWidth="1"/>
    <col min="175" max="175" width="5.77734375" style="1" bestFit="1" customWidth="1"/>
    <col min="176" max="176" width="7.33203125" style="1" bestFit="1" customWidth="1"/>
    <col min="177" max="177" width="9.44140625" style="1" bestFit="1" customWidth="1"/>
    <col min="178" max="178" width="8.77734375" style="1" bestFit="1" customWidth="1"/>
    <col min="179" max="179" width="8.6640625" style="1" bestFit="1" customWidth="1"/>
    <col min="180" max="180" width="11.33203125" style="1" bestFit="1" customWidth="1"/>
    <col min="181" max="181" width="5.44140625" style="1" bestFit="1" customWidth="1"/>
    <col min="182" max="182" width="6.44140625" style="1" bestFit="1" customWidth="1"/>
    <col min="183" max="183" width="18.109375" style="1" bestFit="1" customWidth="1"/>
    <col min="184" max="184" width="7.33203125" style="1" bestFit="1" customWidth="1"/>
    <col min="185" max="185" width="7.109375" style="1" bestFit="1" customWidth="1"/>
    <col min="186" max="186" width="12.77734375" style="1" bestFit="1" customWidth="1"/>
    <col min="187" max="187" width="7" style="1" bestFit="1" customWidth="1"/>
    <col min="188" max="188" width="7.88671875" style="1" bestFit="1" customWidth="1"/>
    <col min="189" max="189" width="8" style="1" bestFit="1" customWidth="1"/>
    <col min="190" max="190" width="19" style="1" bestFit="1" customWidth="1"/>
    <col min="191" max="191" width="14.6640625" style="1" bestFit="1" customWidth="1"/>
    <col min="192" max="192" width="22.109375" style="1" bestFit="1" customWidth="1"/>
    <col min="193" max="193" width="8.33203125" style="1" bestFit="1" customWidth="1"/>
    <col min="194" max="194" width="10.6640625" style="1" bestFit="1" customWidth="1"/>
    <col min="195" max="195" width="8.44140625" style="1" bestFit="1" customWidth="1"/>
    <col min="196" max="196" width="10.109375" style="1" bestFit="1" customWidth="1"/>
    <col min="197" max="197" width="8.44140625" style="1" bestFit="1" customWidth="1"/>
    <col min="198" max="198" width="7.21875" style="1" bestFit="1" customWidth="1"/>
    <col min="199" max="199" width="7.6640625" style="1" bestFit="1" customWidth="1"/>
    <col min="200" max="200" width="10.5546875" style="1" bestFit="1" customWidth="1"/>
    <col min="201" max="16384" width="8.88671875" style="1"/>
  </cols>
  <sheetData>
    <row r="1" spans="1:200" s="2" customFormat="1" x14ac:dyDescent="0.3">
      <c r="A1" s="6" t="s">
        <v>407</v>
      </c>
      <c r="B1" s="6" t="s">
        <v>216</v>
      </c>
      <c r="C1" s="6" t="s">
        <v>2</v>
      </c>
      <c r="D1" s="6" t="s">
        <v>3</v>
      </c>
      <c r="E1" s="6" t="s">
        <v>72</v>
      </c>
      <c r="F1" s="6" t="s">
        <v>107</v>
      </c>
      <c r="G1" s="6" t="s">
        <v>217</v>
      </c>
      <c r="H1" s="6" t="s">
        <v>218</v>
      </c>
      <c r="I1" s="6" t="s">
        <v>219</v>
      </c>
      <c r="J1" s="6" t="s">
        <v>220</v>
      </c>
      <c r="K1" s="6" t="s">
        <v>221</v>
      </c>
      <c r="L1" s="6" t="s">
        <v>222</v>
      </c>
      <c r="M1" s="6" t="s">
        <v>223</v>
      </c>
      <c r="N1" s="6" t="s">
        <v>224</v>
      </c>
      <c r="O1" s="6" t="s">
        <v>225</v>
      </c>
      <c r="P1" s="6" t="s">
        <v>226</v>
      </c>
      <c r="Q1" s="6" t="s">
        <v>227</v>
      </c>
      <c r="R1" s="6" t="s">
        <v>228</v>
      </c>
      <c r="S1" s="6" t="s">
        <v>229</v>
      </c>
      <c r="T1" s="6" t="s">
        <v>230</v>
      </c>
      <c r="U1" s="6" t="s">
        <v>231</v>
      </c>
      <c r="V1" s="6" t="s">
        <v>232</v>
      </c>
      <c r="W1" s="6" t="s">
        <v>233</v>
      </c>
      <c r="X1" s="6" t="s">
        <v>234</v>
      </c>
      <c r="Y1" s="6" t="s">
        <v>235</v>
      </c>
      <c r="Z1" s="6" t="s">
        <v>236</v>
      </c>
      <c r="AA1" s="6" t="s">
        <v>118</v>
      </c>
      <c r="AB1" s="6" t="s">
        <v>237</v>
      </c>
      <c r="AC1" s="6" t="s">
        <v>238</v>
      </c>
      <c r="AD1" s="6" t="s">
        <v>239</v>
      </c>
      <c r="AE1" s="6" t="s">
        <v>240</v>
      </c>
      <c r="AF1" s="6" t="s">
        <v>241</v>
      </c>
      <c r="AG1" s="6" t="s">
        <v>242</v>
      </c>
      <c r="AH1" s="6" t="s">
        <v>243</v>
      </c>
      <c r="AI1" s="6" t="s">
        <v>244</v>
      </c>
      <c r="AJ1" s="6" t="s">
        <v>245</v>
      </c>
      <c r="AK1" s="6" t="s">
        <v>246</v>
      </c>
      <c r="AL1" s="6" t="s">
        <v>247</v>
      </c>
      <c r="AM1" s="6" t="s">
        <v>132</v>
      </c>
      <c r="AN1" s="6" t="s">
        <v>248</v>
      </c>
      <c r="AO1" s="6" t="s">
        <v>249</v>
      </c>
      <c r="AP1" s="6" t="s">
        <v>250</v>
      </c>
      <c r="AQ1" s="6" t="s">
        <v>251</v>
      </c>
      <c r="AR1" s="6" t="s">
        <v>252</v>
      </c>
      <c r="AS1" s="6" t="s">
        <v>253</v>
      </c>
      <c r="AT1" s="6" t="s">
        <v>254</v>
      </c>
      <c r="AU1" s="6" t="s">
        <v>255</v>
      </c>
      <c r="AV1" s="6" t="s">
        <v>256</v>
      </c>
      <c r="AW1" s="6" t="s">
        <v>257</v>
      </c>
      <c r="AX1" s="6" t="s">
        <v>258</v>
      </c>
      <c r="AY1" s="6" t="s">
        <v>259</v>
      </c>
      <c r="AZ1" s="6" t="s">
        <v>260</v>
      </c>
      <c r="BA1" s="6" t="s">
        <v>261</v>
      </c>
      <c r="BB1" s="6" t="s">
        <v>262</v>
      </c>
      <c r="BC1" s="6" t="s">
        <v>263</v>
      </c>
      <c r="BD1" s="6" t="s">
        <v>264</v>
      </c>
      <c r="BE1" s="6" t="s">
        <v>265</v>
      </c>
      <c r="BF1" s="6" t="s">
        <v>266</v>
      </c>
      <c r="BG1" s="6" t="s">
        <v>267</v>
      </c>
      <c r="BH1" s="6" t="s">
        <v>268</v>
      </c>
      <c r="BI1" s="6" t="s">
        <v>269</v>
      </c>
      <c r="BJ1" s="6" t="s">
        <v>270</v>
      </c>
      <c r="BK1" s="6" t="s">
        <v>271</v>
      </c>
      <c r="BL1" s="6" t="s">
        <v>272</v>
      </c>
      <c r="BM1" s="6" t="s">
        <v>273</v>
      </c>
      <c r="BN1" s="6" t="s">
        <v>274</v>
      </c>
      <c r="BO1" s="6" t="s">
        <v>275</v>
      </c>
      <c r="BP1" s="6" t="s">
        <v>276</v>
      </c>
      <c r="BQ1" s="6" t="s">
        <v>277</v>
      </c>
      <c r="BR1" s="6" t="s">
        <v>278</v>
      </c>
      <c r="BS1" s="6" t="s">
        <v>279</v>
      </c>
      <c r="BT1" s="6" t="s">
        <v>280</v>
      </c>
      <c r="BU1" s="6" t="s">
        <v>281</v>
      </c>
      <c r="BV1" s="6" t="s">
        <v>120</v>
      </c>
      <c r="BW1" s="6" t="s">
        <v>282</v>
      </c>
      <c r="BX1" s="6" t="s">
        <v>283</v>
      </c>
      <c r="BY1" s="6" t="s">
        <v>284</v>
      </c>
      <c r="BZ1" s="6" t="s">
        <v>285</v>
      </c>
      <c r="CA1" s="6" t="s">
        <v>286</v>
      </c>
      <c r="CB1" s="6" t="s">
        <v>287</v>
      </c>
      <c r="CC1" s="6" t="s">
        <v>288</v>
      </c>
      <c r="CD1" s="6" t="s">
        <v>289</v>
      </c>
      <c r="CE1" s="6" t="s">
        <v>290</v>
      </c>
      <c r="CF1" s="6" t="s">
        <v>291</v>
      </c>
      <c r="CG1" s="6" t="s">
        <v>292</v>
      </c>
      <c r="CH1" s="6" t="s">
        <v>293</v>
      </c>
      <c r="CI1" s="6" t="s">
        <v>294</v>
      </c>
      <c r="CJ1" s="6" t="s">
        <v>295</v>
      </c>
      <c r="CK1" s="6" t="s">
        <v>296</v>
      </c>
      <c r="CL1" s="6" t="s">
        <v>297</v>
      </c>
      <c r="CM1" s="6" t="s">
        <v>298</v>
      </c>
      <c r="CN1" s="6" t="s">
        <v>124</v>
      </c>
      <c r="CO1" s="6" t="s">
        <v>299</v>
      </c>
      <c r="CP1" s="6" t="s">
        <v>300</v>
      </c>
      <c r="CQ1" s="6" t="s">
        <v>301</v>
      </c>
      <c r="CR1" s="6" t="s">
        <v>302</v>
      </c>
      <c r="CS1" s="6" t="s">
        <v>303</v>
      </c>
      <c r="CT1" s="6" t="s">
        <v>304</v>
      </c>
      <c r="CU1" s="6" t="s">
        <v>305</v>
      </c>
      <c r="CV1" s="6" t="s">
        <v>306</v>
      </c>
      <c r="CW1" s="6" t="s">
        <v>307</v>
      </c>
      <c r="CX1" s="6" t="s">
        <v>308</v>
      </c>
      <c r="CY1" s="6" t="s">
        <v>309</v>
      </c>
      <c r="CZ1" s="6" t="s">
        <v>310</v>
      </c>
      <c r="DA1" s="6" t="s">
        <v>311</v>
      </c>
      <c r="DB1" s="6" t="s">
        <v>312</v>
      </c>
      <c r="DC1" s="6" t="s">
        <v>313</v>
      </c>
      <c r="DD1" s="6" t="s">
        <v>314</v>
      </c>
      <c r="DE1" s="6" t="s">
        <v>315</v>
      </c>
      <c r="DF1" s="6" t="s">
        <v>316</v>
      </c>
      <c r="DG1" s="6" t="s">
        <v>317</v>
      </c>
      <c r="DH1" s="6" t="s">
        <v>318</v>
      </c>
      <c r="DI1" s="6" t="s">
        <v>319</v>
      </c>
      <c r="DJ1" s="6" t="s">
        <v>320</v>
      </c>
      <c r="DK1" s="6" t="s">
        <v>128</v>
      </c>
      <c r="DL1" s="6" t="s">
        <v>321</v>
      </c>
      <c r="DM1" s="6" t="s">
        <v>322</v>
      </c>
      <c r="DN1" s="6" t="s">
        <v>323</v>
      </c>
      <c r="DO1" s="6" t="s">
        <v>324</v>
      </c>
      <c r="DP1" s="6" t="s">
        <v>325</v>
      </c>
      <c r="DQ1" s="6" t="s">
        <v>131</v>
      </c>
      <c r="DR1" s="6" t="s">
        <v>326</v>
      </c>
      <c r="DS1" s="6" t="s">
        <v>327</v>
      </c>
      <c r="DT1" s="6" t="s">
        <v>328</v>
      </c>
      <c r="DU1" s="6" t="s">
        <v>329</v>
      </c>
      <c r="DV1" s="6" t="s">
        <v>330</v>
      </c>
      <c r="DW1" s="6" t="s">
        <v>331</v>
      </c>
      <c r="DX1" s="6" t="s">
        <v>332</v>
      </c>
      <c r="DY1" s="6" t="s">
        <v>333</v>
      </c>
      <c r="DZ1" s="6" t="s">
        <v>334</v>
      </c>
      <c r="EA1" s="6" t="s">
        <v>335</v>
      </c>
      <c r="EB1" s="6" t="s">
        <v>336</v>
      </c>
      <c r="EC1" s="6" t="s">
        <v>337</v>
      </c>
      <c r="ED1" s="6" t="s">
        <v>338</v>
      </c>
      <c r="EE1" s="6" t="s">
        <v>339</v>
      </c>
      <c r="EF1" s="6" t="s">
        <v>340</v>
      </c>
      <c r="EG1" s="6" t="s">
        <v>341</v>
      </c>
      <c r="EH1" s="6" t="s">
        <v>342</v>
      </c>
      <c r="EI1" s="6" t="s">
        <v>343</v>
      </c>
      <c r="EJ1" s="6" t="s">
        <v>344</v>
      </c>
      <c r="EK1" s="6" t="s">
        <v>345</v>
      </c>
      <c r="EL1" s="6" t="s">
        <v>127</v>
      </c>
      <c r="EM1" s="6" t="s">
        <v>346</v>
      </c>
      <c r="EN1" s="6" t="s">
        <v>347</v>
      </c>
      <c r="EO1" s="6" t="s">
        <v>348</v>
      </c>
      <c r="EP1" s="6" t="s">
        <v>349</v>
      </c>
      <c r="EQ1" s="6" t="s">
        <v>350</v>
      </c>
      <c r="ER1" s="6" t="s">
        <v>351</v>
      </c>
      <c r="ES1" s="6" t="s">
        <v>352</v>
      </c>
      <c r="ET1" s="6" t="s">
        <v>353</v>
      </c>
      <c r="EU1" s="6" t="s">
        <v>354</v>
      </c>
      <c r="EV1" s="6" t="s">
        <v>355</v>
      </c>
      <c r="EW1" s="6" t="s">
        <v>356</v>
      </c>
      <c r="EX1" s="6" t="s">
        <v>357</v>
      </c>
      <c r="EY1" s="6" t="s">
        <v>358</v>
      </c>
      <c r="EZ1" s="6" t="s">
        <v>359</v>
      </c>
      <c r="FA1" s="6" t="s">
        <v>360</v>
      </c>
      <c r="FB1" s="6" t="s">
        <v>361</v>
      </c>
      <c r="FC1" s="6" t="s">
        <v>362</v>
      </c>
      <c r="FD1" s="6" t="s">
        <v>363</v>
      </c>
      <c r="FE1" s="6" t="s">
        <v>364</v>
      </c>
      <c r="FF1" s="6" t="s">
        <v>365</v>
      </c>
      <c r="FG1" s="6" t="s">
        <v>366</v>
      </c>
      <c r="FH1" s="6" t="s">
        <v>367</v>
      </c>
      <c r="FI1" s="6" t="s">
        <v>368</v>
      </c>
      <c r="FJ1" s="6" t="s">
        <v>122</v>
      </c>
      <c r="FK1" s="6" t="s">
        <v>369</v>
      </c>
      <c r="FL1" s="6" t="s">
        <v>370</v>
      </c>
      <c r="FM1" s="6" t="s">
        <v>371</v>
      </c>
      <c r="FN1" s="6" t="s">
        <v>372</v>
      </c>
      <c r="FO1" s="6" t="s">
        <v>373</v>
      </c>
      <c r="FP1" s="6" t="s">
        <v>374</v>
      </c>
      <c r="FQ1" s="6" t="s">
        <v>375</v>
      </c>
      <c r="FR1" s="6" t="s">
        <v>376</v>
      </c>
      <c r="FS1" s="6" t="s">
        <v>377</v>
      </c>
      <c r="FT1" s="6" t="s">
        <v>378</v>
      </c>
      <c r="FU1" s="6" t="s">
        <v>379</v>
      </c>
      <c r="FV1" s="6" t="s">
        <v>380</v>
      </c>
      <c r="FW1" s="6" t="s">
        <v>381</v>
      </c>
      <c r="FX1" s="6" t="s">
        <v>382</v>
      </c>
      <c r="FY1" s="6" t="s">
        <v>383</v>
      </c>
      <c r="FZ1" s="6" t="s">
        <v>384</v>
      </c>
      <c r="GA1" s="6" t="s">
        <v>385</v>
      </c>
      <c r="GB1" s="6" t="s">
        <v>386</v>
      </c>
      <c r="GC1" s="6" t="s">
        <v>123</v>
      </c>
      <c r="GD1" s="6" t="s">
        <v>387</v>
      </c>
      <c r="GE1" s="6" t="s">
        <v>388</v>
      </c>
      <c r="GF1" s="6" t="s">
        <v>389</v>
      </c>
      <c r="GG1" s="6" t="s">
        <v>390</v>
      </c>
      <c r="GH1" s="6" t="s">
        <v>391</v>
      </c>
      <c r="GI1" s="6" t="s">
        <v>392</v>
      </c>
      <c r="GJ1" s="6" t="s">
        <v>393</v>
      </c>
      <c r="GK1" s="6" t="s">
        <v>394</v>
      </c>
      <c r="GL1" s="6" t="s">
        <v>395</v>
      </c>
      <c r="GM1" s="6" t="s">
        <v>396</v>
      </c>
      <c r="GN1" s="6" t="s">
        <v>397</v>
      </c>
      <c r="GO1" s="6" t="s">
        <v>398</v>
      </c>
      <c r="GP1" s="6" t="s">
        <v>399</v>
      </c>
      <c r="GQ1" s="6" t="s">
        <v>400</v>
      </c>
      <c r="GR1" s="6" t="s">
        <v>401</v>
      </c>
    </row>
    <row r="2" spans="1:200" ht="43.2" x14ac:dyDescent="0.3">
      <c r="A2" s="7" t="s">
        <v>137</v>
      </c>
      <c r="B2" s="9" t="s">
        <v>409</v>
      </c>
      <c r="C2" s="8">
        <v>390</v>
      </c>
      <c r="D2" s="8">
        <f>2.89+6+0.175+0.025</f>
        <v>9.0900000000000016</v>
      </c>
      <c r="E2" s="8">
        <f>0.075+0.65+0.015+0.005</f>
        <v>0.745</v>
      </c>
      <c r="F2" s="8">
        <f>45+1.25+0.05</f>
        <v>46.3</v>
      </c>
      <c r="G2" s="8">
        <v>0</v>
      </c>
      <c r="H2" s="8">
        <f>2.25+0.11+0.225+0.0275</f>
        <v>2.6124999999999998</v>
      </c>
      <c r="I2" s="8">
        <v>0</v>
      </c>
      <c r="J2" s="8">
        <f>3.75+0.12+0.06+0.02</f>
        <v>3.95</v>
      </c>
      <c r="K2" s="8">
        <f>0.325+0.04+0.015+0.002</f>
        <v>0.38200000000000001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</row>
    <row r="3" spans="1:200" x14ac:dyDescent="0.3">
      <c r="A3" s="7" t="s">
        <v>138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</row>
    <row r="4" spans="1:200" x14ac:dyDescent="0.3">
      <c r="A4" s="7" t="s">
        <v>139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</row>
    <row r="5" spans="1:200" x14ac:dyDescent="0.3">
      <c r="A5" s="7" t="s">
        <v>140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</row>
    <row r="6" spans="1:200" x14ac:dyDescent="0.3">
      <c r="A6" s="7" t="s">
        <v>141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</row>
    <row r="7" spans="1:200" x14ac:dyDescent="0.3">
      <c r="A7" s="7" t="s">
        <v>142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</row>
    <row r="8" spans="1:200" x14ac:dyDescent="0.3">
      <c r="A8" s="7" t="s">
        <v>143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</row>
    <row r="9" spans="1:200" x14ac:dyDescent="0.3">
      <c r="A9" s="7" t="s">
        <v>144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</row>
    <row r="10" spans="1:200" x14ac:dyDescent="0.3">
      <c r="A10" s="7" t="s">
        <v>145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</row>
    <row r="11" spans="1:200" x14ac:dyDescent="0.3">
      <c r="A11" s="7" t="s">
        <v>125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</row>
    <row r="12" spans="1:200" x14ac:dyDescent="0.3">
      <c r="A12" s="7" t="s">
        <v>129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</row>
    <row r="13" spans="1:200" x14ac:dyDescent="0.3">
      <c r="A13" s="7" t="s">
        <v>146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</row>
    <row r="14" spans="1:200" x14ac:dyDescent="0.3">
      <c r="A14" s="7" t="s">
        <v>147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</row>
    <row r="15" spans="1:200" x14ac:dyDescent="0.3">
      <c r="A15" s="7" t="s">
        <v>148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</row>
    <row r="16" spans="1:200" x14ac:dyDescent="0.3">
      <c r="A16" s="7" t="s">
        <v>149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</row>
    <row r="17" spans="1:200" x14ac:dyDescent="0.3">
      <c r="A17" s="7" t="s">
        <v>150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</row>
    <row r="18" spans="1:200" x14ac:dyDescent="0.3">
      <c r="A18" s="7" t="s">
        <v>151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</row>
    <row r="19" spans="1:200" x14ac:dyDescent="0.3">
      <c r="A19" s="7" t="s">
        <v>152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</row>
    <row r="20" spans="1:200" x14ac:dyDescent="0.3">
      <c r="A20" s="7" t="s">
        <v>153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</row>
    <row r="21" spans="1:200" x14ac:dyDescent="0.3">
      <c r="A21" s="7" t="s">
        <v>154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</row>
    <row r="22" spans="1:200" x14ac:dyDescent="0.3">
      <c r="A22" s="7" t="s">
        <v>155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</row>
    <row r="23" spans="1:200" x14ac:dyDescent="0.3">
      <c r="A23" s="7" t="s">
        <v>156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</row>
    <row r="24" spans="1:200" x14ac:dyDescent="0.3">
      <c r="A24" s="7" t="s">
        <v>157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</row>
    <row r="25" spans="1:200" x14ac:dyDescent="0.3">
      <c r="A25" s="7" t="s">
        <v>158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</row>
    <row r="26" spans="1:200" x14ac:dyDescent="0.3">
      <c r="A26" s="7" t="s">
        <v>133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</row>
    <row r="27" spans="1:200" x14ac:dyDescent="0.3">
      <c r="A27" s="7" t="s">
        <v>159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</row>
    <row r="28" spans="1:200" x14ac:dyDescent="0.3">
      <c r="A28" s="7" t="s">
        <v>160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</row>
    <row r="29" spans="1:200" x14ac:dyDescent="0.3">
      <c r="A29" s="7" t="s">
        <v>161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</row>
    <row r="30" spans="1:200" x14ac:dyDescent="0.3">
      <c r="A30" s="7" t="s">
        <v>162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</row>
    <row r="31" spans="1:200" x14ac:dyDescent="0.3">
      <c r="A31" s="7" t="s">
        <v>163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</row>
    <row r="32" spans="1:200" x14ac:dyDescent="0.3">
      <c r="A32" s="7" t="s">
        <v>164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</row>
    <row r="33" spans="1:200" x14ac:dyDescent="0.3">
      <c r="A33" s="7" t="s">
        <v>165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</row>
    <row r="34" spans="1:200" x14ac:dyDescent="0.3">
      <c r="A34" s="7" t="s">
        <v>166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</row>
    <row r="35" spans="1:200" x14ac:dyDescent="0.3">
      <c r="A35" s="7" t="s">
        <v>167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</row>
    <row r="36" spans="1:200" x14ac:dyDescent="0.3">
      <c r="A36" s="7" t="s">
        <v>168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</row>
    <row r="37" spans="1:200" x14ac:dyDescent="0.3">
      <c r="A37" s="7" t="s">
        <v>169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</row>
    <row r="38" spans="1:200" x14ac:dyDescent="0.3">
      <c r="A38" s="7" t="s">
        <v>170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</row>
    <row r="39" spans="1:200" x14ac:dyDescent="0.3">
      <c r="A39" s="7" t="s">
        <v>171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</row>
    <row r="40" spans="1:200" x14ac:dyDescent="0.3">
      <c r="A40" s="7" t="s">
        <v>172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</row>
    <row r="41" spans="1:200" x14ac:dyDescent="0.3">
      <c r="A41" s="7" t="s">
        <v>173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</row>
    <row r="42" spans="1:200" x14ac:dyDescent="0.3">
      <c r="A42" s="7" t="s">
        <v>174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</row>
    <row r="43" spans="1:200" x14ac:dyDescent="0.3">
      <c r="A43" s="7" t="s">
        <v>175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</row>
    <row r="44" spans="1:200" x14ac:dyDescent="0.3">
      <c r="A44" s="7" t="s">
        <v>176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</row>
    <row r="45" spans="1:200" x14ac:dyDescent="0.3">
      <c r="A45" s="7" t="s">
        <v>177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</row>
    <row r="46" spans="1:200" x14ac:dyDescent="0.3">
      <c r="A46" s="7" t="s">
        <v>178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</row>
    <row r="47" spans="1:200" x14ac:dyDescent="0.3">
      <c r="A47" s="7" t="s">
        <v>179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</row>
    <row r="48" spans="1:200" x14ac:dyDescent="0.3">
      <c r="A48" s="7" t="s">
        <v>180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</row>
    <row r="49" spans="1:200" x14ac:dyDescent="0.3">
      <c r="A49" s="7" t="s">
        <v>181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</row>
    <row r="50" spans="1:200" x14ac:dyDescent="0.3">
      <c r="A50" s="7" t="s">
        <v>182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</row>
    <row r="51" spans="1:200" x14ac:dyDescent="0.3">
      <c r="A51" s="7" t="s">
        <v>183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</row>
    <row r="52" spans="1:200" x14ac:dyDescent="0.3">
      <c r="A52" s="7" t="s">
        <v>184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</row>
    <row r="53" spans="1:200" x14ac:dyDescent="0.3">
      <c r="A53" s="7" t="s">
        <v>185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</row>
    <row r="54" spans="1:200" x14ac:dyDescent="0.3">
      <c r="A54" s="7" t="s">
        <v>186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</row>
    <row r="55" spans="1:200" x14ac:dyDescent="0.3">
      <c r="A55" s="7" t="s">
        <v>187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</row>
    <row r="56" spans="1:200" x14ac:dyDescent="0.3">
      <c r="A56" s="7" t="s">
        <v>188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</row>
    <row r="57" spans="1:200" x14ac:dyDescent="0.3">
      <c r="A57" s="7" t="s">
        <v>189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</row>
    <row r="58" spans="1:200" x14ac:dyDescent="0.3">
      <c r="A58" s="7" t="s">
        <v>190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</row>
    <row r="59" spans="1:200" x14ac:dyDescent="0.3">
      <c r="A59" s="7" t="s">
        <v>191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</row>
    <row r="60" spans="1:200" x14ac:dyDescent="0.3">
      <c r="A60" s="7" t="s">
        <v>192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</row>
    <row r="61" spans="1:200" x14ac:dyDescent="0.3">
      <c r="A61" s="7" t="s">
        <v>193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</row>
    <row r="62" spans="1:200" x14ac:dyDescent="0.3">
      <c r="A62" s="7" t="s">
        <v>194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</row>
    <row r="63" spans="1:200" x14ac:dyDescent="0.3">
      <c r="A63" s="7" t="s">
        <v>195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</row>
    <row r="64" spans="1:200" x14ac:dyDescent="0.3">
      <c r="A64" s="7" t="s">
        <v>196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</row>
    <row r="65" spans="1:200" x14ac:dyDescent="0.3">
      <c r="A65" s="7" t="s">
        <v>197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</row>
    <row r="66" spans="1:200" x14ac:dyDescent="0.3">
      <c r="A66" s="7" t="s">
        <v>198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</row>
    <row r="67" spans="1:200" x14ac:dyDescent="0.3">
      <c r="A67" s="7" t="s">
        <v>199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</row>
    <row r="68" spans="1:200" x14ac:dyDescent="0.3">
      <c r="A68" s="7" t="s">
        <v>200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</row>
    <row r="69" spans="1:200" x14ac:dyDescent="0.3">
      <c r="A69" s="7" t="s">
        <v>201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</row>
    <row r="70" spans="1:200" x14ac:dyDescent="0.3">
      <c r="A70" s="7" t="s">
        <v>202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</row>
    <row r="71" spans="1:200" x14ac:dyDescent="0.3">
      <c r="A71" s="7" t="s">
        <v>203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</row>
    <row r="72" spans="1:200" x14ac:dyDescent="0.3">
      <c r="A72" s="7" t="s">
        <v>204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</row>
    <row r="73" spans="1:200" x14ac:dyDescent="0.3">
      <c r="A73" s="7" t="s">
        <v>205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</row>
    <row r="74" spans="1:200" x14ac:dyDescent="0.3">
      <c r="A74" s="7" t="s">
        <v>206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</row>
    <row r="75" spans="1:200" x14ac:dyDescent="0.3">
      <c r="A75" s="7" t="s">
        <v>207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</row>
    <row r="76" spans="1:200" x14ac:dyDescent="0.3">
      <c r="A76" s="7" t="s">
        <v>208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</row>
    <row r="77" spans="1:200" x14ac:dyDescent="0.3">
      <c r="A77" s="7" t="s">
        <v>209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</row>
    <row r="78" spans="1:200" x14ac:dyDescent="0.3">
      <c r="A78" s="7" t="s">
        <v>210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</row>
    <row r="79" spans="1:200" x14ac:dyDescent="0.3">
      <c r="A79" s="7" t="s">
        <v>211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</row>
    <row r="80" spans="1:200" x14ac:dyDescent="0.3">
      <c r="A80" s="7" t="s">
        <v>212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</row>
    <row r="81" spans="1:200" x14ac:dyDescent="0.3">
      <c r="A81" s="7" t="s">
        <v>213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</row>
    <row r="82" spans="1:200" x14ac:dyDescent="0.3">
      <c r="A82" s="7" t="s">
        <v>214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</row>
    <row r="83" spans="1:200" x14ac:dyDescent="0.3">
      <c r="A83" s="7" t="s">
        <v>215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803F-0220-4E85-89A4-571C8FDD7BEB}">
  <dimension ref="A1:GQ83"/>
  <sheetViews>
    <sheetView workbookViewId="0">
      <selection activeCell="J2" sqref="J2"/>
    </sheetView>
  </sheetViews>
  <sheetFormatPr defaultRowHeight="14.4" x14ac:dyDescent="0.3"/>
  <cols>
    <col min="1" max="1" width="19" style="1" bestFit="1" customWidth="1"/>
    <col min="2" max="2" width="5.77734375" style="1" bestFit="1" customWidth="1"/>
    <col min="3" max="3" width="11.21875" style="1" bestFit="1" customWidth="1"/>
    <col min="4" max="4" width="7.77734375" style="1" bestFit="1" customWidth="1"/>
    <col min="5" max="5" width="7.33203125" style="1" bestFit="1" customWidth="1"/>
    <col min="6" max="6" width="8.21875" style="1" bestFit="1" customWidth="1"/>
    <col min="7" max="7" width="7.21875" style="1" bestFit="1" customWidth="1"/>
    <col min="8" max="8" width="18.6640625" style="1" bestFit="1" customWidth="1"/>
    <col min="9" max="9" width="9.44140625" style="1" bestFit="1" customWidth="1"/>
    <col min="10" max="10" width="8.44140625" style="1" bestFit="1" customWidth="1"/>
    <col min="11" max="11" width="9" style="1" bestFit="1" customWidth="1"/>
    <col min="12" max="12" width="7.44140625" style="1" bestFit="1" customWidth="1"/>
    <col min="13" max="13" width="10.109375" style="1" bestFit="1" customWidth="1"/>
    <col min="14" max="14" width="9.21875" style="1" bestFit="1" customWidth="1"/>
    <col min="15" max="15" width="7.88671875" style="1" bestFit="1" customWidth="1"/>
    <col min="16" max="16" width="11.21875" style="1" bestFit="1" customWidth="1"/>
    <col min="17" max="17" width="9.44140625" style="1" bestFit="1" customWidth="1"/>
    <col min="18" max="18" width="7.88671875" style="1" bestFit="1" customWidth="1"/>
    <col min="19" max="19" width="8.21875" style="1" bestFit="1" customWidth="1"/>
    <col min="20" max="20" width="6.5546875" style="1" bestFit="1" customWidth="1"/>
    <col min="21" max="21" width="6.21875" style="1" bestFit="1" customWidth="1"/>
    <col min="22" max="22" width="7.44140625" style="1" bestFit="1" customWidth="1"/>
    <col min="23" max="23" width="7.109375" style="1" bestFit="1" customWidth="1"/>
    <col min="24" max="24" width="21.109375" style="1" bestFit="1" customWidth="1"/>
    <col min="25" max="25" width="9.6640625" style="1" bestFit="1" customWidth="1"/>
    <col min="26" max="26" width="6.21875" style="1" bestFit="1" customWidth="1"/>
    <col min="27" max="27" width="6.88671875" style="1" bestFit="1" customWidth="1"/>
    <col min="28" max="28" width="8.33203125" style="1" bestFit="1" customWidth="1"/>
    <col min="29" max="29" width="12.109375" style="1" bestFit="1" customWidth="1"/>
    <col min="30" max="30" width="8" style="1" bestFit="1" customWidth="1"/>
    <col min="31" max="31" width="11.109375" style="1" bestFit="1" customWidth="1"/>
    <col min="32" max="32" width="10" style="1" bestFit="1" customWidth="1"/>
    <col min="33" max="33" width="10.109375" style="1" bestFit="1" customWidth="1"/>
    <col min="34" max="34" width="8" style="1" bestFit="1" customWidth="1"/>
    <col min="35" max="35" width="21.6640625" style="1" bestFit="1" customWidth="1"/>
    <col min="36" max="36" width="6" style="1" bestFit="1" customWidth="1"/>
    <col min="37" max="37" width="5.88671875" style="1" bestFit="1" customWidth="1"/>
    <col min="38" max="38" width="6.33203125" style="1" bestFit="1" customWidth="1"/>
    <col min="39" max="39" width="9.44140625" style="1" bestFit="1" customWidth="1"/>
    <col min="40" max="40" width="9" style="1" bestFit="1" customWidth="1"/>
    <col min="41" max="41" width="7.109375" style="1" bestFit="1" customWidth="1"/>
    <col min="42" max="42" width="10.33203125" style="1" bestFit="1" customWidth="1"/>
    <col min="43" max="43" width="11.88671875" style="1" bestFit="1" customWidth="1"/>
    <col min="44" max="44" width="7.6640625" style="1" bestFit="1" customWidth="1"/>
    <col min="45" max="45" width="5.88671875" style="1" bestFit="1" customWidth="1"/>
    <col min="46" max="46" width="7.33203125" style="1" bestFit="1" customWidth="1"/>
    <col min="47" max="47" width="8.109375" style="1" bestFit="1" customWidth="1"/>
    <col min="48" max="48" width="26.44140625" style="1" bestFit="1" customWidth="1"/>
    <col min="49" max="49" width="9.109375" style="1" bestFit="1" customWidth="1"/>
    <col min="50" max="50" width="7.88671875" style="1" bestFit="1" customWidth="1"/>
    <col min="51" max="51" width="9.33203125" style="1" bestFit="1" customWidth="1"/>
    <col min="52" max="52" width="18" style="1" bestFit="1" customWidth="1"/>
    <col min="53" max="53" width="8.44140625" style="1" bestFit="1" customWidth="1"/>
    <col min="54" max="54" width="6.109375" style="1" bestFit="1" customWidth="1"/>
    <col min="55" max="55" width="10.88671875" style="1" bestFit="1" customWidth="1"/>
    <col min="56" max="56" width="16.21875" style="1" bestFit="1" customWidth="1"/>
    <col min="57" max="57" width="7.109375" style="1" bestFit="1" customWidth="1"/>
    <col min="58" max="58" width="7.6640625" style="1" bestFit="1" customWidth="1"/>
    <col min="59" max="59" width="8.44140625" style="1" bestFit="1" customWidth="1"/>
    <col min="60" max="60" width="8.21875" style="1" bestFit="1" customWidth="1"/>
    <col min="61" max="61" width="14.88671875" style="1" bestFit="1" customWidth="1"/>
    <col min="62" max="62" width="4" style="1" bestFit="1" customWidth="1"/>
    <col min="63" max="63" width="7.77734375" style="1" bestFit="1" customWidth="1"/>
    <col min="64" max="64" width="7.33203125" style="1" bestFit="1" customWidth="1"/>
    <col min="65" max="65" width="6.88671875" style="1" bestFit="1" customWidth="1"/>
    <col min="66" max="67" width="7.88671875" style="1" bestFit="1" customWidth="1"/>
    <col min="68" max="68" width="9" style="1" bestFit="1" customWidth="1"/>
    <col min="69" max="69" width="6.88671875" style="1" bestFit="1" customWidth="1"/>
    <col min="70" max="70" width="7.5546875" style="1" bestFit="1" customWidth="1"/>
    <col min="71" max="71" width="8.6640625" style="1" bestFit="1" customWidth="1"/>
    <col min="72" max="72" width="10.6640625" style="1" bestFit="1" customWidth="1"/>
    <col min="73" max="73" width="7.33203125" style="1" bestFit="1" customWidth="1"/>
    <col min="74" max="74" width="13.44140625" style="1" bestFit="1" customWidth="1"/>
    <col min="75" max="75" width="7.77734375" style="1" bestFit="1" customWidth="1"/>
    <col min="76" max="76" width="5.5546875" style="1" bestFit="1" customWidth="1"/>
    <col min="77" max="77" width="8.88671875" style="1"/>
    <col min="78" max="78" width="9.6640625" style="1" bestFit="1" customWidth="1"/>
    <col min="79" max="79" width="8.44140625" style="1" bestFit="1" customWidth="1"/>
    <col min="80" max="80" width="7.88671875" style="1" bestFit="1" customWidth="1"/>
    <col min="81" max="81" width="9.6640625" style="1" bestFit="1" customWidth="1"/>
    <col min="82" max="82" width="4.88671875" style="1" bestFit="1" customWidth="1"/>
    <col min="83" max="83" width="5" style="1" bestFit="1" customWidth="1"/>
    <col min="84" max="84" width="7.5546875" style="1" bestFit="1" customWidth="1"/>
    <col min="85" max="85" width="6.33203125" style="1" bestFit="1" customWidth="1"/>
    <col min="86" max="86" width="5.33203125" style="1" bestFit="1" customWidth="1"/>
    <col min="87" max="87" width="8.33203125" style="1" bestFit="1" customWidth="1"/>
    <col min="88" max="88" width="6.33203125" style="1" bestFit="1" customWidth="1"/>
    <col min="89" max="89" width="6.77734375" style="1" bestFit="1" customWidth="1"/>
    <col min="90" max="90" width="7.109375" style="1" bestFit="1" customWidth="1"/>
    <col min="91" max="91" width="11.109375" style="1" bestFit="1" customWidth="1"/>
    <col min="92" max="92" width="6.6640625" style="1" bestFit="1" customWidth="1"/>
    <col min="93" max="93" width="7.44140625" style="1" bestFit="1" customWidth="1"/>
    <col min="94" max="94" width="7.21875" style="1" bestFit="1" customWidth="1"/>
    <col min="95" max="95" width="10.44140625" style="1" bestFit="1" customWidth="1"/>
    <col min="96" max="96" width="5.44140625" style="1" bestFit="1" customWidth="1"/>
    <col min="97" max="97" width="6.5546875" style="1" bestFit="1" customWidth="1"/>
    <col min="98" max="98" width="8.5546875" style="1" bestFit="1" customWidth="1"/>
    <col min="99" max="99" width="8.109375" style="1" bestFit="1" customWidth="1"/>
    <col min="100" max="100" width="7.109375" style="1" bestFit="1" customWidth="1"/>
    <col min="101" max="101" width="5.88671875" style="1" bestFit="1" customWidth="1"/>
    <col min="102" max="102" width="12.6640625" style="1" bestFit="1" customWidth="1"/>
    <col min="103" max="103" width="9.109375" style="1" bestFit="1" customWidth="1"/>
    <col min="104" max="104" width="10.5546875" style="1" bestFit="1" customWidth="1"/>
    <col min="105" max="105" width="11.6640625" style="1" bestFit="1" customWidth="1"/>
    <col min="106" max="106" width="7.44140625" style="1" bestFit="1" customWidth="1"/>
    <col min="107" max="107" width="8.88671875" style="1"/>
    <col min="108" max="108" width="9" style="1" bestFit="1" customWidth="1"/>
    <col min="109" max="109" width="5.109375" style="1" bestFit="1" customWidth="1"/>
    <col min="110" max="110" width="6.33203125" style="1" bestFit="1" customWidth="1"/>
    <col min="111" max="111" width="15.21875" style="1" bestFit="1" customWidth="1"/>
    <col min="112" max="112" width="10.33203125" style="1" bestFit="1" customWidth="1"/>
    <col min="113" max="113" width="9.21875" style="1" bestFit="1" customWidth="1"/>
    <col min="114" max="114" width="7.44140625" style="1" bestFit="1" customWidth="1"/>
    <col min="115" max="115" width="10.5546875" style="1" bestFit="1" customWidth="1"/>
    <col min="116" max="116" width="8.6640625" style="1" bestFit="1" customWidth="1"/>
    <col min="117" max="117" width="8.109375" style="1" bestFit="1" customWidth="1"/>
    <col min="118" max="118" width="9" style="1" bestFit="1" customWidth="1"/>
    <col min="119" max="119" width="11.33203125" style="1" bestFit="1" customWidth="1"/>
    <col min="120" max="120" width="8.77734375" style="1" bestFit="1" customWidth="1"/>
    <col min="121" max="121" width="12" style="1" bestFit="1" customWidth="1"/>
    <col min="122" max="122" width="9.21875" style="1" bestFit="1" customWidth="1"/>
    <col min="123" max="123" width="8.44140625" style="1" bestFit="1" customWidth="1"/>
    <col min="124" max="124" width="6.6640625" style="1" bestFit="1" customWidth="1"/>
    <col min="125" max="125" width="6.5546875" style="1" bestFit="1" customWidth="1"/>
    <col min="126" max="126" width="11.88671875" style="1" bestFit="1" customWidth="1"/>
    <col min="127" max="127" width="12.33203125" style="1" bestFit="1" customWidth="1"/>
    <col min="128" max="128" width="10" style="1" bestFit="1" customWidth="1"/>
    <col min="129" max="129" width="6" style="1" bestFit="1" customWidth="1"/>
    <col min="130" max="130" width="7.44140625" style="1" bestFit="1" customWidth="1"/>
    <col min="131" max="131" width="11.44140625" style="1" bestFit="1" customWidth="1"/>
    <col min="132" max="132" width="15.77734375" style="1" bestFit="1" customWidth="1"/>
    <col min="133" max="133" width="7.88671875" style="1" bestFit="1" customWidth="1"/>
    <col min="134" max="134" width="6.5546875" style="1" bestFit="1" customWidth="1"/>
    <col min="135" max="135" width="8.77734375" style="1" bestFit="1" customWidth="1"/>
    <col min="136" max="136" width="6.33203125" style="1" bestFit="1" customWidth="1"/>
    <col min="137" max="137" width="14.21875" style="1" bestFit="1" customWidth="1"/>
    <col min="138" max="138" width="8.33203125" style="1" bestFit="1" customWidth="1"/>
    <col min="139" max="139" width="16.88671875" style="1" bestFit="1" customWidth="1"/>
    <col min="140" max="140" width="9.21875" style="1" bestFit="1" customWidth="1"/>
    <col min="141" max="141" width="5.44140625" style="1" bestFit="1" customWidth="1"/>
    <col min="142" max="142" width="10.5546875" style="1" bestFit="1" customWidth="1"/>
    <col min="143" max="143" width="7.44140625" style="1" bestFit="1" customWidth="1"/>
    <col min="144" max="144" width="8.5546875" style="1" bestFit="1" customWidth="1"/>
    <col min="145" max="145" width="6.33203125" style="1" bestFit="1" customWidth="1"/>
    <col min="146" max="146" width="8.77734375" style="1" bestFit="1" customWidth="1"/>
    <col min="147" max="147" width="7" style="1" bestFit="1" customWidth="1"/>
    <col min="148" max="148" width="8.21875" style="1" bestFit="1" customWidth="1"/>
    <col min="149" max="149" width="18.5546875" style="1" bestFit="1" customWidth="1"/>
    <col min="150" max="150" width="10.5546875" style="1" bestFit="1" customWidth="1"/>
    <col min="151" max="151" width="29" style="1" bestFit="1" customWidth="1"/>
    <col min="152" max="152" width="7.33203125" style="1" bestFit="1" customWidth="1"/>
    <col min="153" max="153" width="10.6640625" style="1" bestFit="1" customWidth="1"/>
    <col min="154" max="154" width="20.21875" style="1" bestFit="1" customWidth="1"/>
    <col min="155" max="155" width="11.88671875" style="1" bestFit="1" customWidth="1"/>
    <col min="156" max="156" width="8.21875" style="1" bestFit="1" customWidth="1"/>
    <col min="157" max="157" width="6.88671875" style="1" bestFit="1" customWidth="1"/>
    <col min="158" max="158" width="10.6640625" style="1" bestFit="1" customWidth="1"/>
    <col min="159" max="159" width="11.77734375" style="1" bestFit="1" customWidth="1"/>
    <col min="160" max="160" width="9.77734375" style="1" bestFit="1" customWidth="1"/>
    <col min="161" max="162" width="8.6640625" style="1" bestFit="1" customWidth="1"/>
    <col min="163" max="163" width="15.33203125" style="1" bestFit="1" customWidth="1"/>
    <col min="164" max="164" width="8.33203125" style="1" bestFit="1" customWidth="1"/>
    <col min="165" max="166" width="11.5546875" style="1" bestFit="1" customWidth="1"/>
    <col min="167" max="167" width="12" style="1" bestFit="1" customWidth="1"/>
    <col min="168" max="168" width="6.21875" style="1" bestFit="1" customWidth="1"/>
    <col min="169" max="169" width="9.109375" style="1" bestFit="1" customWidth="1"/>
    <col min="170" max="170" width="6.88671875" style="1" bestFit="1" customWidth="1"/>
    <col min="171" max="171" width="9.44140625" style="1" bestFit="1" customWidth="1"/>
    <col min="172" max="172" width="8.21875" style="1" bestFit="1" customWidth="1"/>
    <col min="173" max="173" width="11.33203125" style="1" bestFit="1" customWidth="1"/>
    <col min="174" max="174" width="5.77734375" style="1" bestFit="1" customWidth="1"/>
    <col min="175" max="175" width="7.33203125" style="1" bestFit="1" customWidth="1"/>
    <col min="176" max="176" width="9.44140625" style="1" bestFit="1" customWidth="1"/>
    <col min="177" max="177" width="8.77734375" style="1" bestFit="1" customWidth="1"/>
    <col min="178" max="178" width="8.6640625" style="1" bestFit="1" customWidth="1"/>
    <col min="179" max="179" width="11.33203125" style="1" bestFit="1" customWidth="1"/>
    <col min="180" max="180" width="5.44140625" style="1" bestFit="1" customWidth="1"/>
    <col min="181" max="181" width="6.44140625" style="1" bestFit="1" customWidth="1"/>
    <col min="182" max="182" width="18.109375" style="1" bestFit="1" customWidth="1"/>
    <col min="183" max="183" width="7.33203125" style="1" bestFit="1" customWidth="1"/>
    <col min="184" max="184" width="7.109375" style="1" bestFit="1" customWidth="1"/>
    <col min="185" max="185" width="12.77734375" style="1" bestFit="1" customWidth="1"/>
    <col min="186" max="186" width="7" style="1" bestFit="1" customWidth="1"/>
    <col min="187" max="187" width="7.88671875" style="1" bestFit="1" customWidth="1"/>
    <col min="188" max="188" width="8" style="1" bestFit="1" customWidth="1"/>
    <col min="189" max="189" width="19" style="1" bestFit="1" customWidth="1"/>
    <col min="190" max="190" width="14.6640625" style="1" bestFit="1" customWidth="1"/>
    <col min="191" max="191" width="22.109375" style="1" bestFit="1" customWidth="1"/>
    <col min="192" max="192" width="8.33203125" style="1" bestFit="1" customWidth="1"/>
    <col min="193" max="193" width="10.6640625" style="1" bestFit="1" customWidth="1"/>
    <col min="194" max="194" width="8.44140625" style="1" bestFit="1" customWidth="1"/>
    <col min="195" max="195" width="10.109375" style="1" bestFit="1" customWidth="1"/>
    <col min="196" max="196" width="8.44140625" style="1" bestFit="1" customWidth="1"/>
    <col min="197" max="197" width="7.21875" style="1" bestFit="1" customWidth="1"/>
    <col min="198" max="198" width="7.6640625" style="1" bestFit="1" customWidth="1"/>
    <col min="199" max="199" width="10.5546875" style="1" bestFit="1" customWidth="1"/>
    <col min="200" max="16384" width="8.88671875" style="1"/>
  </cols>
  <sheetData>
    <row r="1" spans="1:199" s="2" customFormat="1" x14ac:dyDescent="0.3">
      <c r="A1" s="6" t="s">
        <v>407</v>
      </c>
      <c r="B1" s="6" t="s">
        <v>2</v>
      </c>
      <c r="C1" s="6" t="s">
        <v>3</v>
      </c>
      <c r="D1" s="6" t="s">
        <v>72</v>
      </c>
      <c r="E1" s="6" t="s">
        <v>107</v>
      </c>
      <c r="F1" s="6" t="s">
        <v>217</v>
      </c>
      <c r="G1" s="6" t="s">
        <v>218</v>
      </c>
      <c r="H1" s="6" t="s">
        <v>219</v>
      </c>
      <c r="I1" s="6" t="s">
        <v>220</v>
      </c>
      <c r="J1" s="6" t="s">
        <v>221</v>
      </c>
      <c r="K1" s="6" t="s">
        <v>222</v>
      </c>
      <c r="L1" s="6" t="s">
        <v>223</v>
      </c>
      <c r="M1" s="6" t="s">
        <v>224</v>
      </c>
      <c r="N1" s="6" t="s">
        <v>225</v>
      </c>
      <c r="O1" s="6" t="s">
        <v>226</v>
      </c>
      <c r="P1" s="6" t="s">
        <v>227</v>
      </c>
      <c r="Q1" s="6" t="s">
        <v>228</v>
      </c>
      <c r="R1" s="6" t="s">
        <v>229</v>
      </c>
      <c r="S1" s="6" t="s">
        <v>230</v>
      </c>
      <c r="T1" s="6" t="s">
        <v>231</v>
      </c>
      <c r="U1" s="6" t="s">
        <v>232</v>
      </c>
      <c r="V1" s="6" t="s">
        <v>233</v>
      </c>
      <c r="W1" s="6" t="s">
        <v>234</v>
      </c>
      <c r="X1" s="6" t="s">
        <v>235</v>
      </c>
      <c r="Y1" s="6" t="s">
        <v>236</v>
      </c>
      <c r="Z1" s="6" t="s">
        <v>118</v>
      </c>
      <c r="AA1" s="6" t="s">
        <v>237</v>
      </c>
      <c r="AB1" s="6" t="s">
        <v>238</v>
      </c>
      <c r="AC1" s="6" t="s">
        <v>239</v>
      </c>
      <c r="AD1" s="6" t="s">
        <v>240</v>
      </c>
      <c r="AE1" s="6" t="s">
        <v>241</v>
      </c>
      <c r="AF1" s="6" t="s">
        <v>242</v>
      </c>
      <c r="AG1" s="6" t="s">
        <v>243</v>
      </c>
      <c r="AH1" s="6" t="s">
        <v>244</v>
      </c>
      <c r="AI1" s="6" t="s">
        <v>245</v>
      </c>
      <c r="AJ1" s="6" t="s">
        <v>246</v>
      </c>
      <c r="AK1" s="6" t="s">
        <v>247</v>
      </c>
      <c r="AL1" s="6" t="s">
        <v>132</v>
      </c>
      <c r="AM1" s="6" t="s">
        <v>248</v>
      </c>
      <c r="AN1" s="6" t="s">
        <v>249</v>
      </c>
      <c r="AO1" s="6" t="s">
        <v>250</v>
      </c>
      <c r="AP1" s="6" t="s">
        <v>251</v>
      </c>
      <c r="AQ1" s="6" t="s">
        <v>252</v>
      </c>
      <c r="AR1" s="6" t="s">
        <v>253</v>
      </c>
      <c r="AS1" s="6" t="s">
        <v>254</v>
      </c>
      <c r="AT1" s="6" t="s">
        <v>255</v>
      </c>
      <c r="AU1" s="6" t="s">
        <v>256</v>
      </c>
      <c r="AV1" s="6" t="s">
        <v>257</v>
      </c>
      <c r="AW1" s="6" t="s">
        <v>258</v>
      </c>
      <c r="AX1" s="6" t="s">
        <v>259</v>
      </c>
      <c r="AY1" s="6" t="s">
        <v>260</v>
      </c>
      <c r="AZ1" s="6" t="s">
        <v>261</v>
      </c>
      <c r="BA1" s="6" t="s">
        <v>262</v>
      </c>
      <c r="BB1" s="6" t="s">
        <v>263</v>
      </c>
      <c r="BC1" s="6" t="s">
        <v>264</v>
      </c>
      <c r="BD1" s="6" t="s">
        <v>265</v>
      </c>
      <c r="BE1" s="6" t="s">
        <v>266</v>
      </c>
      <c r="BF1" s="6" t="s">
        <v>267</v>
      </c>
      <c r="BG1" s="6" t="s">
        <v>268</v>
      </c>
      <c r="BH1" s="6" t="s">
        <v>269</v>
      </c>
      <c r="BI1" s="6" t="s">
        <v>270</v>
      </c>
      <c r="BJ1" s="6" t="s">
        <v>271</v>
      </c>
      <c r="BK1" s="6" t="s">
        <v>272</v>
      </c>
      <c r="BL1" s="6" t="s">
        <v>273</v>
      </c>
      <c r="BM1" s="6" t="s">
        <v>274</v>
      </c>
      <c r="BN1" s="6" t="s">
        <v>275</v>
      </c>
      <c r="BO1" s="6" t="s">
        <v>276</v>
      </c>
      <c r="BP1" s="6" t="s">
        <v>277</v>
      </c>
      <c r="BQ1" s="6" t="s">
        <v>278</v>
      </c>
      <c r="BR1" s="6" t="s">
        <v>279</v>
      </c>
      <c r="BS1" s="6" t="s">
        <v>280</v>
      </c>
      <c r="BT1" s="6" t="s">
        <v>281</v>
      </c>
      <c r="BU1" s="6" t="s">
        <v>120</v>
      </c>
      <c r="BV1" s="6" t="s">
        <v>282</v>
      </c>
      <c r="BW1" s="6" t="s">
        <v>283</v>
      </c>
      <c r="BX1" s="6" t="s">
        <v>284</v>
      </c>
      <c r="BY1" s="6" t="s">
        <v>285</v>
      </c>
      <c r="BZ1" s="6" t="s">
        <v>286</v>
      </c>
      <c r="CA1" s="6" t="s">
        <v>287</v>
      </c>
      <c r="CB1" s="6" t="s">
        <v>288</v>
      </c>
      <c r="CC1" s="6" t="s">
        <v>289</v>
      </c>
      <c r="CD1" s="6" t="s">
        <v>290</v>
      </c>
      <c r="CE1" s="6" t="s">
        <v>291</v>
      </c>
      <c r="CF1" s="6" t="s">
        <v>292</v>
      </c>
      <c r="CG1" s="6" t="s">
        <v>293</v>
      </c>
      <c r="CH1" s="6" t="s">
        <v>294</v>
      </c>
      <c r="CI1" s="6" t="s">
        <v>295</v>
      </c>
      <c r="CJ1" s="6" t="s">
        <v>296</v>
      </c>
      <c r="CK1" s="6" t="s">
        <v>297</v>
      </c>
      <c r="CL1" s="6" t="s">
        <v>298</v>
      </c>
      <c r="CM1" s="6" t="s">
        <v>124</v>
      </c>
      <c r="CN1" s="6" t="s">
        <v>299</v>
      </c>
      <c r="CO1" s="6" t="s">
        <v>300</v>
      </c>
      <c r="CP1" s="6" t="s">
        <v>301</v>
      </c>
      <c r="CQ1" s="6" t="s">
        <v>302</v>
      </c>
      <c r="CR1" s="6" t="s">
        <v>303</v>
      </c>
      <c r="CS1" s="6" t="s">
        <v>304</v>
      </c>
      <c r="CT1" s="6" t="s">
        <v>305</v>
      </c>
      <c r="CU1" s="6" t="s">
        <v>306</v>
      </c>
      <c r="CV1" s="6" t="s">
        <v>307</v>
      </c>
      <c r="CW1" s="6" t="s">
        <v>308</v>
      </c>
      <c r="CX1" s="6" t="s">
        <v>309</v>
      </c>
      <c r="CY1" s="6" t="s">
        <v>310</v>
      </c>
      <c r="CZ1" s="6" t="s">
        <v>311</v>
      </c>
      <c r="DA1" s="6" t="s">
        <v>312</v>
      </c>
      <c r="DB1" s="6" t="s">
        <v>313</v>
      </c>
      <c r="DC1" s="6" t="s">
        <v>314</v>
      </c>
      <c r="DD1" s="6" t="s">
        <v>315</v>
      </c>
      <c r="DE1" s="6" t="s">
        <v>316</v>
      </c>
      <c r="DF1" s="6" t="s">
        <v>317</v>
      </c>
      <c r="DG1" s="6" t="s">
        <v>318</v>
      </c>
      <c r="DH1" s="6" t="s">
        <v>319</v>
      </c>
      <c r="DI1" s="6" t="s">
        <v>320</v>
      </c>
      <c r="DJ1" s="6" t="s">
        <v>128</v>
      </c>
      <c r="DK1" s="6" t="s">
        <v>321</v>
      </c>
      <c r="DL1" s="6" t="s">
        <v>322</v>
      </c>
      <c r="DM1" s="6" t="s">
        <v>323</v>
      </c>
      <c r="DN1" s="6" t="s">
        <v>324</v>
      </c>
      <c r="DO1" s="6" t="s">
        <v>325</v>
      </c>
      <c r="DP1" s="6" t="s">
        <v>131</v>
      </c>
      <c r="DQ1" s="6" t="s">
        <v>326</v>
      </c>
      <c r="DR1" s="6" t="s">
        <v>327</v>
      </c>
      <c r="DS1" s="6" t="s">
        <v>328</v>
      </c>
      <c r="DT1" s="6" t="s">
        <v>329</v>
      </c>
      <c r="DU1" s="6" t="s">
        <v>330</v>
      </c>
      <c r="DV1" s="6" t="s">
        <v>331</v>
      </c>
      <c r="DW1" s="6" t="s">
        <v>332</v>
      </c>
      <c r="DX1" s="6" t="s">
        <v>333</v>
      </c>
      <c r="DY1" s="6" t="s">
        <v>334</v>
      </c>
      <c r="DZ1" s="6" t="s">
        <v>335</v>
      </c>
      <c r="EA1" s="6" t="s">
        <v>336</v>
      </c>
      <c r="EB1" s="6" t="s">
        <v>337</v>
      </c>
      <c r="EC1" s="6" t="s">
        <v>338</v>
      </c>
      <c r="ED1" s="6" t="s">
        <v>339</v>
      </c>
      <c r="EE1" s="6" t="s">
        <v>340</v>
      </c>
      <c r="EF1" s="6" t="s">
        <v>341</v>
      </c>
      <c r="EG1" s="6" t="s">
        <v>342</v>
      </c>
      <c r="EH1" s="6" t="s">
        <v>343</v>
      </c>
      <c r="EI1" s="6" t="s">
        <v>344</v>
      </c>
      <c r="EJ1" s="6" t="s">
        <v>345</v>
      </c>
      <c r="EK1" s="6" t="s">
        <v>127</v>
      </c>
      <c r="EL1" s="6" t="s">
        <v>346</v>
      </c>
      <c r="EM1" s="6" t="s">
        <v>347</v>
      </c>
      <c r="EN1" s="6" t="s">
        <v>348</v>
      </c>
      <c r="EO1" s="6" t="s">
        <v>349</v>
      </c>
      <c r="EP1" s="6" t="s">
        <v>350</v>
      </c>
      <c r="EQ1" s="6" t="s">
        <v>351</v>
      </c>
      <c r="ER1" s="6" t="s">
        <v>352</v>
      </c>
      <c r="ES1" s="6" t="s">
        <v>353</v>
      </c>
      <c r="ET1" s="6" t="s">
        <v>354</v>
      </c>
      <c r="EU1" s="6" t="s">
        <v>355</v>
      </c>
      <c r="EV1" s="6" t="s">
        <v>356</v>
      </c>
      <c r="EW1" s="6" t="s">
        <v>357</v>
      </c>
      <c r="EX1" s="6" t="s">
        <v>358</v>
      </c>
      <c r="EY1" s="6" t="s">
        <v>359</v>
      </c>
      <c r="EZ1" s="6" t="s">
        <v>360</v>
      </c>
      <c r="FA1" s="6" t="s">
        <v>361</v>
      </c>
      <c r="FB1" s="6" t="s">
        <v>362</v>
      </c>
      <c r="FC1" s="6" t="s">
        <v>363</v>
      </c>
      <c r="FD1" s="6" t="s">
        <v>364</v>
      </c>
      <c r="FE1" s="6" t="s">
        <v>365</v>
      </c>
      <c r="FF1" s="6" t="s">
        <v>366</v>
      </c>
      <c r="FG1" s="6" t="s">
        <v>367</v>
      </c>
      <c r="FH1" s="6" t="s">
        <v>368</v>
      </c>
      <c r="FI1" s="6" t="s">
        <v>122</v>
      </c>
      <c r="FJ1" s="6" t="s">
        <v>369</v>
      </c>
      <c r="FK1" s="6" t="s">
        <v>370</v>
      </c>
      <c r="FL1" s="6" t="s">
        <v>371</v>
      </c>
      <c r="FM1" s="6" t="s">
        <v>372</v>
      </c>
      <c r="FN1" s="6" t="s">
        <v>373</v>
      </c>
      <c r="FO1" s="6" t="s">
        <v>374</v>
      </c>
      <c r="FP1" s="6" t="s">
        <v>375</v>
      </c>
      <c r="FQ1" s="6" t="s">
        <v>376</v>
      </c>
      <c r="FR1" s="6" t="s">
        <v>377</v>
      </c>
      <c r="FS1" s="6" t="s">
        <v>378</v>
      </c>
      <c r="FT1" s="6" t="s">
        <v>379</v>
      </c>
      <c r="FU1" s="6" t="s">
        <v>380</v>
      </c>
      <c r="FV1" s="6" t="s">
        <v>381</v>
      </c>
      <c r="FW1" s="6" t="s">
        <v>382</v>
      </c>
      <c r="FX1" s="6" t="s">
        <v>383</v>
      </c>
      <c r="FY1" s="6" t="s">
        <v>384</v>
      </c>
      <c r="FZ1" s="6" t="s">
        <v>385</v>
      </c>
      <c r="GA1" s="6" t="s">
        <v>386</v>
      </c>
      <c r="GB1" s="6" t="s">
        <v>123</v>
      </c>
      <c r="GC1" s="6" t="s">
        <v>387</v>
      </c>
      <c r="GD1" s="6" t="s">
        <v>388</v>
      </c>
      <c r="GE1" s="6" t="s">
        <v>389</v>
      </c>
      <c r="GF1" s="6" t="s">
        <v>390</v>
      </c>
      <c r="GG1" s="6" t="s">
        <v>391</v>
      </c>
      <c r="GH1" s="6" t="s">
        <v>392</v>
      </c>
      <c r="GI1" s="6" t="s">
        <v>393</v>
      </c>
      <c r="GJ1" s="6" t="s">
        <v>394</v>
      </c>
      <c r="GK1" s="6" t="s">
        <v>395</v>
      </c>
      <c r="GL1" s="6" t="s">
        <v>396</v>
      </c>
      <c r="GM1" s="6" t="s">
        <v>397</v>
      </c>
      <c r="GN1" s="6" t="s">
        <v>398</v>
      </c>
      <c r="GO1" s="6" t="s">
        <v>399</v>
      </c>
      <c r="GP1" s="6" t="s">
        <v>400</v>
      </c>
      <c r="GQ1" s="6" t="s">
        <v>401</v>
      </c>
    </row>
    <row r="2" spans="1:199" x14ac:dyDescent="0.3">
      <c r="A2" s="7" t="s">
        <v>137</v>
      </c>
      <c r="B2" s="8">
        <v>285</v>
      </c>
      <c r="C2" s="8">
        <v>0</v>
      </c>
      <c r="D2" s="8">
        <v>0</v>
      </c>
      <c r="E2" s="8">
        <v>6.5</v>
      </c>
      <c r="F2" s="8">
        <v>0</v>
      </c>
      <c r="G2" s="8">
        <v>0</v>
      </c>
      <c r="H2" s="8">
        <v>0</v>
      </c>
      <c r="I2" s="8">
        <v>2.75</v>
      </c>
      <c r="J2" s="8">
        <v>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</row>
    <row r="3" spans="1:199" x14ac:dyDescent="0.3">
      <c r="A3" s="7" t="s">
        <v>138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</row>
    <row r="4" spans="1:199" x14ac:dyDescent="0.3">
      <c r="A4" s="7" t="s">
        <v>139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</row>
    <row r="5" spans="1:199" x14ac:dyDescent="0.3">
      <c r="A5" s="7" t="s">
        <v>140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</row>
    <row r="6" spans="1:199" x14ac:dyDescent="0.3">
      <c r="A6" s="7" t="s">
        <v>141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</row>
    <row r="7" spans="1:199" x14ac:dyDescent="0.3">
      <c r="A7" s="7" t="s">
        <v>142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</row>
    <row r="8" spans="1:199" x14ac:dyDescent="0.3">
      <c r="A8" s="7" t="s">
        <v>143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</row>
    <row r="9" spans="1:199" x14ac:dyDescent="0.3">
      <c r="A9" s="7" t="s">
        <v>144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</row>
    <row r="10" spans="1:199" x14ac:dyDescent="0.3">
      <c r="A10" s="7" t="s">
        <v>145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</row>
    <row r="11" spans="1:199" x14ac:dyDescent="0.3">
      <c r="A11" s="7" t="s">
        <v>125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</row>
    <row r="12" spans="1:199" x14ac:dyDescent="0.3">
      <c r="A12" s="7" t="s">
        <v>129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</row>
    <row r="13" spans="1:199" x14ac:dyDescent="0.3">
      <c r="A13" s="7" t="s">
        <v>146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</row>
    <row r="14" spans="1:199" x14ac:dyDescent="0.3">
      <c r="A14" s="7" t="s">
        <v>147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</row>
    <row r="15" spans="1:199" x14ac:dyDescent="0.3">
      <c r="A15" s="7" t="s">
        <v>148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</row>
    <row r="16" spans="1:199" x14ac:dyDescent="0.3">
      <c r="A16" s="7" t="s">
        <v>149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</row>
    <row r="17" spans="1:199" x14ac:dyDescent="0.3">
      <c r="A17" s="7" t="s">
        <v>150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</row>
    <row r="18" spans="1:199" x14ac:dyDescent="0.3">
      <c r="A18" s="7" t="s">
        <v>151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</row>
    <row r="19" spans="1:199" x14ac:dyDescent="0.3">
      <c r="A19" s="7" t="s">
        <v>152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</row>
    <row r="20" spans="1:199" x14ac:dyDescent="0.3">
      <c r="A20" s="7" t="s">
        <v>153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</row>
    <row r="21" spans="1:199" x14ac:dyDescent="0.3">
      <c r="A21" s="7" t="s">
        <v>154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</row>
    <row r="22" spans="1:199" x14ac:dyDescent="0.3">
      <c r="A22" s="7" t="s">
        <v>155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</row>
    <row r="23" spans="1:199" x14ac:dyDescent="0.3">
      <c r="A23" s="7" t="s">
        <v>156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</row>
    <row r="24" spans="1:199" x14ac:dyDescent="0.3">
      <c r="A24" s="7" t="s">
        <v>157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</row>
    <row r="25" spans="1:199" x14ac:dyDescent="0.3">
      <c r="A25" s="7" t="s">
        <v>158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</row>
    <row r="26" spans="1:199" x14ac:dyDescent="0.3">
      <c r="A26" s="7" t="s">
        <v>133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</row>
    <row r="27" spans="1:199" x14ac:dyDescent="0.3">
      <c r="A27" s="7" t="s">
        <v>159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</row>
    <row r="28" spans="1:199" x14ac:dyDescent="0.3">
      <c r="A28" s="7" t="s">
        <v>160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</row>
    <row r="29" spans="1:199" x14ac:dyDescent="0.3">
      <c r="A29" s="7" t="s">
        <v>161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</row>
    <row r="30" spans="1:199" x14ac:dyDescent="0.3">
      <c r="A30" s="7" t="s">
        <v>162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</row>
    <row r="31" spans="1:199" x14ac:dyDescent="0.3">
      <c r="A31" s="7" t="s">
        <v>163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</row>
    <row r="32" spans="1:199" x14ac:dyDescent="0.3">
      <c r="A32" s="7" t="s">
        <v>164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</row>
    <row r="33" spans="1:199" x14ac:dyDescent="0.3">
      <c r="A33" s="7" t="s">
        <v>165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</row>
    <row r="34" spans="1:199" x14ac:dyDescent="0.3">
      <c r="A34" s="7" t="s">
        <v>166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</row>
    <row r="35" spans="1:199" x14ac:dyDescent="0.3">
      <c r="A35" s="7" t="s">
        <v>167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</row>
    <row r="36" spans="1:199" x14ac:dyDescent="0.3">
      <c r="A36" s="7" t="s">
        <v>168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</row>
    <row r="37" spans="1:199" x14ac:dyDescent="0.3">
      <c r="A37" s="7" t="s">
        <v>169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</row>
    <row r="38" spans="1:199" x14ac:dyDescent="0.3">
      <c r="A38" s="7" t="s">
        <v>170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</row>
    <row r="39" spans="1:199" x14ac:dyDescent="0.3">
      <c r="A39" s="7" t="s">
        <v>171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</row>
    <row r="40" spans="1:199" x14ac:dyDescent="0.3">
      <c r="A40" s="7" t="s">
        <v>172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</row>
    <row r="41" spans="1:199" x14ac:dyDescent="0.3">
      <c r="A41" s="7" t="s">
        <v>173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</row>
    <row r="42" spans="1:199" x14ac:dyDescent="0.3">
      <c r="A42" s="7" t="s">
        <v>174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</row>
    <row r="43" spans="1:199" x14ac:dyDescent="0.3">
      <c r="A43" s="7" t="s">
        <v>175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</row>
    <row r="44" spans="1:199" x14ac:dyDescent="0.3">
      <c r="A44" s="7" t="s">
        <v>176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</row>
    <row r="45" spans="1:199" x14ac:dyDescent="0.3">
      <c r="A45" s="7" t="s">
        <v>177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</row>
    <row r="46" spans="1:199" x14ac:dyDescent="0.3">
      <c r="A46" s="7" t="s">
        <v>178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</row>
    <row r="47" spans="1:199" x14ac:dyDescent="0.3">
      <c r="A47" s="7" t="s">
        <v>179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</row>
    <row r="48" spans="1:199" x14ac:dyDescent="0.3">
      <c r="A48" s="7" t="s">
        <v>180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</row>
    <row r="49" spans="1:199" x14ac:dyDescent="0.3">
      <c r="A49" s="7" t="s">
        <v>181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</row>
    <row r="50" spans="1:199" x14ac:dyDescent="0.3">
      <c r="A50" s="7" t="s">
        <v>182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</row>
    <row r="51" spans="1:199" x14ac:dyDescent="0.3">
      <c r="A51" s="7" t="s">
        <v>183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</row>
    <row r="52" spans="1:199" x14ac:dyDescent="0.3">
      <c r="A52" s="7" t="s">
        <v>184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</row>
    <row r="53" spans="1:199" x14ac:dyDescent="0.3">
      <c r="A53" s="7" t="s">
        <v>185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</row>
    <row r="54" spans="1:199" x14ac:dyDescent="0.3">
      <c r="A54" s="7" t="s">
        <v>186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</row>
    <row r="55" spans="1:199" x14ac:dyDescent="0.3">
      <c r="A55" s="7" t="s">
        <v>187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</row>
    <row r="56" spans="1:199" x14ac:dyDescent="0.3">
      <c r="A56" s="7" t="s">
        <v>188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</row>
    <row r="57" spans="1:199" x14ac:dyDescent="0.3">
      <c r="A57" s="7" t="s">
        <v>189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</row>
    <row r="58" spans="1:199" x14ac:dyDescent="0.3">
      <c r="A58" s="7" t="s">
        <v>190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</row>
    <row r="59" spans="1:199" x14ac:dyDescent="0.3">
      <c r="A59" s="7" t="s">
        <v>191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</row>
    <row r="60" spans="1:199" x14ac:dyDescent="0.3">
      <c r="A60" s="7" t="s">
        <v>192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</row>
    <row r="61" spans="1:199" x14ac:dyDescent="0.3">
      <c r="A61" s="7" t="s">
        <v>193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</row>
    <row r="62" spans="1:199" x14ac:dyDescent="0.3">
      <c r="A62" s="7" t="s">
        <v>194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</row>
    <row r="63" spans="1:199" x14ac:dyDescent="0.3">
      <c r="A63" s="7" t="s">
        <v>195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</row>
    <row r="64" spans="1:199" x14ac:dyDescent="0.3">
      <c r="A64" s="7" t="s">
        <v>196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</row>
    <row r="65" spans="1:199" x14ac:dyDescent="0.3">
      <c r="A65" s="7" t="s">
        <v>197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</row>
    <row r="66" spans="1:199" x14ac:dyDescent="0.3">
      <c r="A66" s="7" t="s">
        <v>198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</row>
    <row r="67" spans="1:199" x14ac:dyDescent="0.3">
      <c r="A67" s="7" t="s">
        <v>199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</row>
    <row r="68" spans="1:199" x14ac:dyDescent="0.3">
      <c r="A68" s="7" t="s">
        <v>200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</row>
    <row r="69" spans="1:199" x14ac:dyDescent="0.3">
      <c r="A69" s="7" t="s">
        <v>201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</row>
    <row r="70" spans="1:199" x14ac:dyDescent="0.3">
      <c r="A70" s="7" t="s">
        <v>202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</row>
    <row r="71" spans="1:199" x14ac:dyDescent="0.3">
      <c r="A71" s="7" t="s">
        <v>203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</row>
    <row r="72" spans="1:199" x14ac:dyDescent="0.3">
      <c r="A72" s="7" t="s">
        <v>204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</row>
    <row r="73" spans="1:199" x14ac:dyDescent="0.3">
      <c r="A73" s="7" t="s">
        <v>205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</row>
    <row r="74" spans="1:199" x14ac:dyDescent="0.3">
      <c r="A74" s="7" t="s">
        <v>206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</row>
    <row r="75" spans="1:199" x14ac:dyDescent="0.3">
      <c r="A75" s="7" t="s">
        <v>207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</row>
    <row r="76" spans="1:199" x14ac:dyDescent="0.3">
      <c r="A76" s="7" t="s">
        <v>208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</row>
    <row r="77" spans="1:199" x14ac:dyDescent="0.3">
      <c r="A77" s="7" t="s">
        <v>209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</row>
    <row r="78" spans="1:199" x14ac:dyDescent="0.3">
      <c r="A78" s="7" t="s">
        <v>210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</row>
    <row r="79" spans="1:199" x14ac:dyDescent="0.3">
      <c r="A79" s="7" t="s">
        <v>211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</row>
    <row r="80" spans="1:199" x14ac:dyDescent="0.3">
      <c r="A80" s="7" t="s">
        <v>212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</row>
    <row r="81" spans="1:199" x14ac:dyDescent="0.3">
      <c r="A81" s="7" t="s">
        <v>213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</row>
    <row r="82" spans="1:199" x14ac:dyDescent="0.3">
      <c r="A82" s="7" t="s">
        <v>214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</row>
    <row r="83" spans="1:199" x14ac:dyDescent="0.3">
      <c r="A83" s="7" t="s">
        <v>215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DDFA-D167-448A-9C38-C59735BBE63E}">
  <dimension ref="A1:GU83"/>
  <sheetViews>
    <sheetView topLeftCell="B1" workbookViewId="0">
      <selection activeCell="L2" sqref="L2"/>
    </sheetView>
  </sheetViews>
  <sheetFormatPr defaultRowHeight="14.4" x14ac:dyDescent="0.3"/>
  <cols>
    <col min="1" max="1" width="19" style="5" bestFit="1" customWidth="1"/>
    <col min="2" max="2" width="111.109375" style="1" customWidth="1"/>
    <col min="3" max="3" width="6" style="1" bestFit="1" customWidth="1"/>
    <col min="4" max="4" width="11.21875" style="1" bestFit="1" customWidth="1"/>
    <col min="5" max="5" width="7.77734375" style="1" bestFit="1" customWidth="1"/>
    <col min="6" max="6" width="7.33203125" style="1" bestFit="1" customWidth="1"/>
    <col min="7" max="7" width="8.21875" style="1" bestFit="1" customWidth="1"/>
    <col min="8" max="8" width="7.21875" style="1" bestFit="1" customWidth="1"/>
    <col min="9" max="9" width="18.6640625" style="1" bestFit="1" customWidth="1"/>
    <col min="10" max="10" width="9.44140625" style="1" bestFit="1" customWidth="1"/>
    <col min="11" max="11" width="8.44140625" style="1" bestFit="1" customWidth="1"/>
    <col min="12" max="12" width="9" style="1" bestFit="1" customWidth="1"/>
    <col min="13" max="13" width="7.44140625" style="1" bestFit="1" customWidth="1"/>
    <col min="14" max="14" width="10.109375" style="1" bestFit="1" customWidth="1"/>
    <col min="15" max="15" width="9.21875" style="1" bestFit="1" customWidth="1"/>
    <col min="16" max="16" width="7.88671875" style="1" bestFit="1" customWidth="1"/>
    <col min="17" max="17" width="11.21875" style="1" bestFit="1" customWidth="1"/>
    <col min="18" max="18" width="9.44140625" style="1" bestFit="1" customWidth="1"/>
    <col min="19" max="19" width="7.88671875" style="1" bestFit="1" customWidth="1"/>
    <col min="20" max="20" width="8.21875" style="1" bestFit="1" customWidth="1"/>
    <col min="21" max="21" width="6.5546875" style="1" bestFit="1" customWidth="1"/>
    <col min="22" max="22" width="6.21875" style="1" bestFit="1" customWidth="1"/>
    <col min="23" max="23" width="7.44140625" style="1" bestFit="1" customWidth="1"/>
    <col min="24" max="24" width="7.109375" style="1" bestFit="1" customWidth="1"/>
    <col min="25" max="25" width="21.109375" style="1" bestFit="1" customWidth="1"/>
    <col min="26" max="26" width="9.6640625" style="1" bestFit="1" customWidth="1"/>
    <col min="27" max="27" width="6.21875" style="1" bestFit="1" customWidth="1"/>
    <col min="28" max="28" width="6.88671875" style="1" bestFit="1" customWidth="1"/>
    <col min="29" max="29" width="8.33203125" style="1" bestFit="1" customWidth="1"/>
    <col min="30" max="30" width="12.109375" style="1" bestFit="1" customWidth="1"/>
    <col min="31" max="31" width="8" style="1" bestFit="1" customWidth="1"/>
    <col min="32" max="32" width="11.109375" style="1" bestFit="1" customWidth="1"/>
    <col min="33" max="33" width="10" style="1" bestFit="1" customWidth="1"/>
    <col min="34" max="34" width="10.109375" style="1" bestFit="1" customWidth="1"/>
    <col min="35" max="35" width="8" style="1" bestFit="1" customWidth="1"/>
    <col min="36" max="36" width="21.6640625" style="1" bestFit="1" customWidth="1"/>
    <col min="37" max="37" width="6" style="1" bestFit="1" customWidth="1"/>
    <col min="38" max="38" width="5.88671875" style="1" bestFit="1" customWidth="1"/>
    <col min="39" max="39" width="6.33203125" style="1" bestFit="1" customWidth="1"/>
    <col min="40" max="40" width="9.44140625" style="1" bestFit="1" customWidth="1"/>
    <col min="41" max="41" width="9" style="1" bestFit="1" customWidth="1"/>
    <col min="42" max="42" width="7.109375" style="1" bestFit="1" customWidth="1"/>
    <col min="43" max="43" width="10.33203125" style="1" bestFit="1" customWidth="1"/>
    <col min="44" max="44" width="11.88671875" style="1" bestFit="1" customWidth="1"/>
    <col min="45" max="45" width="7.6640625" style="1" bestFit="1" customWidth="1"/>
    <col min="46" max="46" width="5.88671875" style="1" bestFit="1" customWidth="1"/>
    <col min="47" max="47" width="7.33203125" style="1" bestFit="1" customWidth="1"/>
    <col min="48" max="48" width="8.109375" style="1" bestFit="1" customWidth="1"/>
    <col min="49" max="49" width="26.44140625" style="1" bestFit="1" customWidth="1"/>
    <col min="50" max="50" width="9.109375" style="1" bestFit="1" customWidth="1"/>
    <col min="51" max="51" width="7.88671875" style="1" bestFit="1" customWidth="1"/>
    <col min="52" max="52" width="9.33203125" style="1" bestFit="1" customWidth="1"/>
    <col min="53" max="53" width="18" style="1" bestFit="1" customWidth="1"/>
    <col min="54" max="54" width="8.44140625" style="1" bestFit="1" customWidth="1"/>
    <col min="55" max="55" width="6.109375" style="1" bestFit="1" customWidth="1"/>
    <col min="56" max="56" width="10.88671875" style="1" bestFit="1" customWidth="1"/>
    <col min="57" max="57" width="16.21875" style="1" bestFit="1" customWidth="1"/>
    <col min="58" max="58" width="7.109375" style="1" bestFit="1" customWidth="1"/>
    <col min="59" max="59" width="7.6640625" style="1" bestFit="1" customWidth="1"/>
    <col min="60" max="60" width="8.44140625" style="1" bestFit="1" customWidth="1"/>
    <col min="61" max="61" width="8.21875" style="1" bestFit="1" customWidth="1"/>
    <col min="62" max="62" width="14.88671875" style="1" bestFit="1" customWidth="1"/>
    <col min="63" max="63" width="4" style="1" bestFit="1" customWidth="1"/>
    <col min="64" max="64" width="7.77734375" style="1" bestFit="1" customWidth="1"/>
    <col min="65" max="65" width="7.33203125" style="1" bestFit="1" customWidth="1"/>
    <col min="66" max="66" width="6.88671875" style="1" bestFit="1" customWidth="1"/>
    <col min="67" max="68" width="7.88671875" style="1" bestFit="1" customWidth="1"/>
    <col min="69" max="69" width="9" style="1" bestFit="1" customWidth="1"/>
    <col min="70" max="70" width="6.88671875" style="1" bestFit="1" customWidth="1"/>
    <col min="71" max="71" width="7.5546875" style="1" bestFit="1" customWidth="1"/>
    <col min="72" max="72" width="8.6640625" style="1" bestFit="1" customWidth="1"/>
    <col min="73" max="73" width="10.6640625" style="1" bestFit="1" customWidth="1"/>
    <col min="74" max="74" width="7.33203125" style="1" bestFit="1" customWidth="1"/>
    <col min="75" max="75" width="13.44140625" style="1" bestFit="1" customWidth="1"/>
    <col min="76" max="76" width="7.77734375" style="1" bestFit="1" customWidth="1"/>
    <col min="77" max="77" width="5.5546875" style="1" bestFit="1" customWidth="1"/>
    <col min="78" max="78" width="8.88671875" style="1"/>
    <col min="79" max="79" width="9.6640625" style="1" bestFit="1" customWidth="1"/>
    <col min="80" max="80" width="8.44140625" style="1" bestFit="1" customWidth="1"/>
    <col min="81" max="81" width="7.88671875" style="1" bestFit="1" customWidth="1"/>
    <col min="82" max="82" width="9.6640625" style="1" bestFit="1" customWidth="1"/>
    <col min="83" max="83" width="4.88671875" style="1" bestFit="1" customWidth="1"/>
    <col min="84" max="84" width="5" style="1" bestFit="1" customWidth="1"/>
    <col min="85" max="85" width="7.5546875" style="1" bestFit="1" customWidth="1"/>
    <col min="86" max="86" width="6.33203125" style="1" bestFit="1" customWidth="1"/>
    <col min="87" max="87" width="5.33203125" style="1" bestFit="1" customWidth="1"/>
    <col min="88" max="88" width="8.33203125" style="1" bestFit="1" customWidth="1"/>
    <col min="89" max="89" width="6.33203125" style="1" bestFit="1" customWidth="1"/>
    <col min="90" max="90" width="6.77734375" style="1" bestFit="1" customWidth="1"/>
    <col min="91" max="91" width="7.109375" style="1" bestFit="1" customWidth="1"/>
    <col min="92" max="92" width="11.109375" style="1" bestFit="1" customWidth="1"/>
    <col min="93" max="93" width="6.6640625" style="1" bestFit="1" customWidth="1"/>
    <col min="94" max="94" width="7.44140625" style="1" bestFit="1" customWidth="1"/>
    <col min="95" max="95" width="7.21875" style="1" bestFit="1" customWidth="1"/>
    <col min="96" max="96" width="10.44140625" style="1" bestFit="1" customWidth="1"/>
    <col min="97" max="97" width="5.44140625" style="1" bestFit="1" customWidth="1"/>
    <col min="98" max="98" width="6.5546875" style="1" bestFit="1" customWidth="1"/>
    <col min="99" max="99" width="8.5546875" style="1" bestFit="1" customWidth="1"/>
    <col min="100" max="100" width="8.109375" style="1" bestFit="1" customWidth="1"/>
    <col min="101" max="101" width="7.109375" style="1" bestFit="1" customWidth="1"/>
    <col min="102" max="102" width="5.88671875" style="1" bestFit="1" customWidth="1"/>
    <col min="103" max="103" width="12.6640625" style="1" bestFit="1" customWidth="1"/>
    <col min="104" max="104" width="9.109375" style="1" bestFit="1" customWidth="1"/>
    <col min="105" max="105" width="10.5546875" style="1" bestFit="1" customWidth="1"/>
    <col min="106" max="106" width="11.6640625" style="1" bestFit="1" customWidth="1"/>
    <col min="107" max="107" width="7.44140625" style="1" bestFit="1" customWidth="1"/>
    <col min="108" max="108" width="8.88671875" style="1"/>
    <col min="109" max="109" width="9" style="1" bestFit="1" customWidth="1"/>
    <col min="110" max="110" width="5.109375" style="1" bestFit="1" customWidth="1"/>
    <col min="111" max="111" width="6.33203125" style="1" bestFit="1" customWidth="1"/>
    <col min="112" max="112" width="15.21875" style="1" bestFit="1" customWidth="1"/>
    <col min="113" max="113" width="10.33203125" style="1" bestFit="1" customWidth="1"/>
    <col min="114" max="114" width="9.21875" style="1" bestFit="1" customWidth="1"/>
    <col min="115" max="115" width="7.44140625" style="1" bestFit="1" customWidth="1"/>
    <col min="116" max="116" width="10.5546875" style="1" bestFit="1" customWidth="1"/>
    <col min="117" max="117" width="8.6640625" style="1" bestFit="1" customWidth="1"/>
    <col min="118" max="118" width="8.109375" style="1" bestFit="1" customWidth="1"/>
    <col min="119" max="119" width="9" style="1" bestFit="1" customWidth="1"/>
    <col min="120" max="120" width="11.33203125" style="1" bestFit="1" customWidth="1"/>
    <col min="121" max="121" width="8.77734375" style="1" bestFit="1" customWidth="1"/>
    <col min="122" max="122" width="12" style="1" bestFit="1" customWidth="1"/>
    <col min="123" max="123" width="9.21875" style="1" bestFit="1" customWidth="1"/>
    <col min="124" max="124" width="8.44140625" style="1" bestFit="1" customWidth="1"/>
    <col min="125" max="125" width="6.6640625" style="1" bestFit="1" customWidth="1"/>
    <col min="126" max="126" width="6.5546875" style="1" bestFit="1" customWidth="1"/>
    <col min="127" max="127" width="11.88671875" style="1" bestFit="1" customWidth="1"/>
    <col min="128" max="128" width="12.33203125" style="1" bestFit="1" customWidth="1"/>
    <col min="129" max="129" width="10" style="1" bestFit="1" customWidth="1"/>
    <col min="130" max="130" width="6" style="1" bestFit="1" customWidth="1"/>
    <col min="131" max="131" width="7.44140625" style="1" bestFit="1" customWidth="1"/>
    <col min="132" max="132" width="11.44140625" style="1" bestFit="1" customWidth="1"/>
    <col min="133" max="133" width="15.77734375" style="1" bestFit="1" customWidth="1"/>
    <col min="134" max="134" width="7.88671875" style="1" bestFit="1" customWidth="1"/>
    <col min="135" max="135" width="6.5546875" style="1" bestFit="1" customWidth="1"/>
    <col min="136" max="136" width="8.77734375" style="1" bestFit="1" customWidth="1"/>
    <col min="137" max="137" width="6.33203125" style="1" bestFit="1" customWidth="1"/>
    <col min="138" max="138" width="14.21875" style="1" bestFit="1" customWidth="1"/>
    <col min="139" max="139" width="8.33203125" style="1" bestFit="1" customWidth="1"/>
    <col min="140" max="140" width="16.88671875" style="1" bestFit="1" customWidth="1"/>
    <col min="141" max="141" width="9.21875" style="1" bestFit="1" customWidth="1"/>
    <col min="142" max="142" width="5.44140625" style="1" bestFit="1" customWidth="1"/>
    <col min="143" max="143" width="10.5546875" style="1" bestFit="1" customWidth="1"/>
    <col min="144" max="144" width="7.44140625" style="1" bestFit="1" customWidth="1"/>
    <col min="145" max="145" width="8.5546875" style="1" bestFit="1" customWidth="1"/>
    <col min="146" max="146" width="6.33203125" style="1" bestFit="1" customWidth="1"/>
    <col min="147" max="147" width="8.77734375" style="1" bestFit="1" customWidth="1"/>
    <col min="148" max="148" width="7" style="1" bestFit="1" customWidth="1"/>
    <col min="149" max="149" width="8.21875" style="1" bestFit="1" customWidth="1"/>
    <col min="150" max="150" width="18.5546875" style="1" bestFit="1" customWidth="1"/>
    <col min="151" max="151" width="10.5546875" style="1" bestFit="1" customWidth="1"/>
    <col min="152" max="152" width="29" style="1" bestFit="1" customWidth="1"/>
    <col min="153" max="153" width="7.33203125" style="1" bestFit="1" customWidth="1"/>
    <col min="154" max="154" width="10.6640625" style="1" bestFit="1" customWidth="1"/>
    <col min="155" max="155" width="20.21875" style="1" bestFit="1" customWidth="1"/>
    <col min="156" max="156" width="11.88671875" style="1" bestFit="1" customWidth="1"/>
    <col min="157" max="157" width="8.21875" style="1" bestFit="1" customWidth="1"/>
    <col min="158" max="158" width="6.88671875" style="1" bestFit="1" customWidth="1"/>
    <col min="159" max="159" width="10.6640625" style="1" bestFit="1" customWidth="1"/>
    <col min="160" max="160" width="11.77734375" style="1" bestFit="1" customWidth="1"/>
    <col min="161" max="161" width="9.77734375" style="1" bestFit="1" customWidth="1"/>
    <col min="162" max="163" width="8.6640625" style="1" bestFit="1" customWidth="1"/>
    <col min="164" max="164" width="15.33203125" style="1" bestFit="1" customWidth="1"/>
    <col min="165" max="165" width="8.33203125" style="1" bestFit="1" customWidth="1"/>
    <col min="166" max="167" width="11.5546875" style="1" bestFit="1" customWidth="1"/>
    <col min="168" max="168" width="12" style="1" bestFit="1" customWidth="1"/>
    <col min="169" max="169" width="6.21875" style="1" bestFit="1" customWidth="1"/>
    <col min="170" max="170" width="9.109375" style="1" bestFit="1" customWidth="1"/>
    <col min="171" max="171" width="6.88671875" style="1" bestFit="1" customWidth="1"/>
    <col min="172" max="172" width="9.44140625" style="1" bestFit="1" customWidth="1"/>
    <col min="173" max="173" width="8.21875" style="1" bestFit="1" customWidth="1"/>
    <col min="174" max="174" width="11.33203125" style="1" bestFit="1" customWidth="1"/>
    <col min="175" max="175" width="5.77734375" style="1" bestFit="1" customWidth="1"/>
    <col min="176" max="176" width="7.33203125" style="1" bestFit="1" customWidth="1"/>
    <col min="177" max="177" width="9.44140625" style="1" bestFit="1" customWidth="1"/>
    <col min="178" max="178" width="8.77734375" style="1" bestFit="1" customWidth="1"/>
    <col min="179" max="179" width="8.6640625" style="1" bestFit="1" customWidth="1"/>
    <col min="180" max="180" width="11.33203125" style="1" bestFit="1" customWidth="1"/>
    <col min="181" max="181" width="5.44140625" style="1" bestFit="1" customWidth="1"/>
    <col min="182" max="182" width="6.44140625" style="1" bestFit="1" customWidth="1"/>
    <col min="183" max="183" width="18.109375" style="1" bestFit="1" customWidth="1"/>
    <col min="184" max="184" width="7.33203125" style="1" bestFit="1" customWidth="1"/>
    <col min="185" max="185" width="7.109375" style="1" bestFit="1" customWidth="1"/>
    <col min="186" max="186" width="12.77734375" style="1" bestFit="1" customWidth="1"/>
    <col min="187" max="187" width="7" style="1" bestFit="1" customWidth="1"/>
    <col min="188" max="188" width="7.88671875" style="1" bestFit="1" customWidth="1"/>
    <col min="189" max="189" width="8" style="1" bestFit="1" customWidth="1"/>
    <col min="190" max="190" width="19" style="1" bestFit="1" customWidth="1"/>
    <col min="191" max="191" width="14.6640625" style="1" bestFit="1" customWidth="1"/>
    <col min="192" max="192" width="22.109375" style="1" bestFit="1" customWidth="1"/>
    <col min="193" max="193" width="8.33203125" style="1" bestFit="1" customWidth="1"/>
    <col min="194" max="194" width="10.6640625" style="1" bestFit="1" customWidth="1"/>
    <col min="195" max="195" width="8.44140625" style="1" bestFit="1" customWidth="1"/>
    <col min="196" max="196" width="10.109375" style="1" bestFit="1" customWidth="1"/>
    <col min="197" max="197" width="8.44140625" style="1" bestFit="1" customWidth="1"/>
    <col min="198" max="198" width="7.21875" style="1" bestFit="1" customWidth="1"/>
    <col min="199" max="199" width="7.6640625" style="1" bestFit="1" customWidth="1"/>
    <col min="200" max="200" width="10.5546875" style="1" bestFit="1" customWidth="1"/>
    <col min="201" max="201" width="111.109375" style="1" customWidth="1"/>
    <col min="202" max="202" width="23.77734375" style="1" bestFit="1" customWidth="1"/>
    <col min="203" max="203" width="27.5546875" style="1" bestFit="1" customWidth="1"/>
    <col min="204" max="16384" width="8.88671875" style="1"/>
  </cols>
  <sheetData>
    <row r="1" spans="1:203" s="2" customFormat="1" x14ac:dyDescent="0.3">
      <c r="A1" s="6" t="s">
        <v>406</v>
      </c>
      <c r="B1" s="6" t="s">
        <v>404</v>
      </c>
      <c r="C1" s="6" t="s">
        <v>2</v>
      </c>
      <c r="D1" s="6" t="s">
        <v>3</v>
      </c>
      <c r="E1" s="6" t="s">
        <v>72</v>
      </c>
      <c r="F1" s="6" t="s">
        <v>107</v>
      </c>
      <c r="G1" s="6" t="s">
        <v>217</v>
      </c>
      <c r="H1" s="6" t="s">
        <v>218</v>
      </c>
      <c r="I1" s="6" t="s">
        <v>219</v>
      </c>
      <c r="J1" s="6" t="s">
        <v>220</v>
      </c>
      <c r="K1" s="6" t="s">
        <v>221</v>
      </c>
      <c r="L1" s="6" t="s">
        <v>222</v>
      </c>
      <c r="M1" s="6" t="s">
        <v>223</v>
      </c>
      <c r="N1" s="6" t="s">
        <v>224</v>
      </c>
      <c r="O1" s="6" t="s">
        <v>225</v>
      </c>
      <c r="P1" s="6" t="s">
        <v>226</v>
      </c>
      <c r="Q1" s="6" t="s">
        <v>227</v>
      </c>
      <c r="R1" s="6" t="s">
        <v>228</v>
      </c>
      <c r="S1" s="6" t="s">
        <v>229</v>
      </c>
      <c r="T1" s="6" t="s">
        <v>230</v>
      </c>
      <c r="U1" s="6" t="s">
        <v>231</v>
      </c>
      <c r="V1" s="6" t="s">
        <v>232</v>
      </c>
      <c r="W1" s="6" t="s">
        <v>233</v>
      </c>
      <c r="X1" s="6" t="s">
        <v>234</v>
      </c>
      <c r="Y1" s="6" t="s">
        <v>235</v>
      </c>
      <c r="Z1" s="6" t="s">
        <v>236</v>
      </c>
      <c r="AA1" s="6" t="s">
        <v>118</v>
      </c>
      <c r="AB1" s="6" t="s">
        <v>237</v>
      </c>
      <c r="AC1" s="6" t="s">
        <v>238</v>
      </c>
      <c r="AD1" s="6" t="s">
        <v>239</v>
      </c>
      <c r="AE1" s="6" t="s">
        <v>240</v>
      </c>
      <c r="AF1" s="6" t="s">
        <v>241</v>
      </c>
      <c r="AG1" s="6" t="s">
        <v>242</v>
      </c>
      <c r="AH1" s="6" t="s">
        <v>243</v>
      </c>
      <c r="AI1" s="6" t="s">
        <v>244</v>
      </c>
      <c r="AJ1" s="6" t="s">
        <v>245</v>
      </c>
      <c r="AK1" s="6" t="s">
        <v>246</v>
      </c>
      <c r="AL1" s="6" t="s">
        <v>247</v>
      </c>
      <c r="AM1" s="6" t="s">
        <v>132</v>
      </c>
      <c r="AN1" s="6" t="s">
        <v>248</v>
      </c>
      <c r="AO1" s="6" t="s">
        <v>249</v>
      </c>
      <c r="AP1" s="6" t="s">
        <v>250</v>
      </c>
      <c r="AQ1" s="6" t="s">
        <v>251</v>
      </c>
      <c r="AR1" s="6" t="s">
        <v>252</v>
      </c>
      <c r="AS1" s="6" t="s">
        <v>253</v>
      </c>
      <c r="AT1" s="6" t="s">
        <v>254</v>
      </c>
      <c r="AU1" s="6" t="s">
        <v>255</v>
      </c>
      <c r="AV1" s="6" t="s">
        <v>256</v>
      </c>
      <c r="AW1" s="6" t="s">
        <v>257</v>
      </c>
      <c r="AX1" s="6" t="s">
        <v>258</v>
      </c>
      <c r="AY1" s="6" t="s">
        <v>259</v>
      </c>
      <c r="AZ1" s="6" t="s">
        <v>260</v>
      </c>
      <c r="BA1" s="6" t="s">
        <v>261</v>
      </c>
      <c r="BB1" s="6" t="s">
        <v>262</v>
      </c>
      <c r="BC1" s="6" t="s">
        <v>263</v>
      </c>
      <c r="BD1" s="6" t="s">
        <v>264</v>
      </c>
      <c r="BE1" s="6" t="s">
        <v>265</v>
      </c>
      <c r="BF1" s="6" t="s">
        <v>266</v>
      </c>
      <c r="BG1" s="6" t="s">
        <v>267</v>
      </c>
      <c r="BH1" s="6" t="s">
        <v>268</v>
      </c>
      <c r="BI1" s="6" t="s">
        <v>269</v>
      </c>
      <c r="BJ1" s="6" t="s">
        <v>270</v>
      </c>
      <c r="BK1" s="6" t="s">
        <v>271</v>
      </c>
      <c r="BL1" s="6" t="s">
        <v>272</v>
      </c>
      <c r="BM1" s="6" t="s">
        <v>273</v>
      </c>
      <c r="BN1" s="6" t="s">
        <v>274</v>
      </c>
      <c r="BO1" s="6" t="s">
        <v>275</v>
      </c>
      <c r="BP1" s="6" t="s">
        <v>276</v>
      </c>
      <c r="BQ1" s="6" t="s">
        <v>277</v>
      </c>
      <c r="BR1" s="6" t="s">
        <v>278</v>
      </c>
      <c r="BS1" s="6" t="s">
        <v>279</v>
      </c>
      <c r="BT1" s="6" t="s">
        <v>280</v>
      </c>
      <c r="BU1" s="6" t="s">
        <v>281</v>
      </c>
      <c r="BV1" s="6" t="s">
        <v>120</v>
      </c>
      <c r="BW1" s="6" t="s">
        <v>282</v>
      </c>
      <c r="BX1" s="6" t="s">
        <v>283</v>
      </c>
      <c r="BY1" s="6" t="s">
        <v>284</v>
      </c>
      <c r="BZ1" s="6" t="s">
        <v>285</v>
      </c>
      <c r="CA1" s="6" t="s">
        <v>286</v>
      </c>
      <c r="CB1" s="6" t="s">
        <v>287</v>
      </c>
      <c r="CC1" s="6" t="s">
        <v>288</v>
      </c>
      <c r="CD1" s="6" t="s">
        <v>289</v>
      </c>
      <c r="CE1" s="6" t="s">
        <v>290</v>
      </c>
      <c r="CF1" s="6" t="s">
        <v>291</v>
      </c>
      <c r="CG1" s="6" t="s">
        <v>292</v>
      </c>
      <c r="CH1" s="6" t="s">
        <v>293</v>
      </c>
      <c r="CI1" s="6" t="s">
        <v>294</v>
      </c>
      <c r="CJ1" s="6" t="s">
        <v>295</v>
      </c>
      <c r="CK1" s="6" t="s">
        <v>296</v>
      </c>
      <c r="CL1" s="6" t="s">
        <v>297</v>
      </c>
      <c r="CM1" s="6" t="s">
        <v>298</v>
      </c>
      <c r="CN1" s="6" t="s">
        <v>124</v>
      </c>
      <c r="CO1" s="6" t="s">
        <v>299</v>
      </c>
      <c r="CP1" s="6" t="s">
        <v>300</v>
      </c>
      <c r="CQ1" s="6" t="s">
        <v>301</v>
      </c>
      <c r="CR1" s="6" t="s">
        <v>302</v>
      </c>
      <c r="CS1" s="6" t="s">
        <v>303</v>
      </c>
      <c r="CT1" s="6" t="s">
        <v>304</v>
      </c>
      <c r="CU1" s="6" t="s">
        <v>305</v>
      </c>
      <c r="CV1" s="6" t="s">
        <v>306</v>
      </c>
      <c r="CW1" s="6" t="s">
        <v>307</v>
      </c>
      <c r="CX1" s="6" t="s">
        <v>308</v>
      </c>
      <c r="CY1" s="6" t="s">
        <v>309</v>
      </c>
      <c r="CZ1" s="6" t="s">
        <v>310</v>
      </c>
      <c r="DA1" s="6" t="s">
        <v>311</v>
      </c>
      <c r="DB1" s="6" t="s">
        <v>312</v>
      </c>
      <c r="DC1" s="6" t="s">
        <v>313</v>
      </c>
      <c r="DD1" s="6" t="s">
        <v>314</v>
      </c>
      <c r="DE1" s="6" t="s">
        <v>315</v>
      </c>
      <c r="DF1" s="6" t="s">
        <v>316</v>
      </c>
      <c r="DG1" s="6" t="s">
        <v>317</v>
      </c>
      <c r="DH1" s="6" t="s">
        <v>318</v>
      </c>
      <c r="DI1" s="6" t="s">
        <v>319</v>
      </c>
      <c r="DJ1" s="6" t="s">
        <v>320</v>
      </c>
      <c r="DK1" s="6" t="s">
        <v>128</v>
      </c>
      <c r="DL1" s="6" t="s">
        <v>321</v>
      </c>
      <c r="DM1" s="6" t="s">
        <v>322</v>
      </c>
      <c r="DN1" s="6" t="s">
        <v>323</v>
      </c>
      <c r="DO1" s="6" t="s">
        <v>324</v>
      </c>
      <c r="DP1" s="6" t="s">
        <v>325</v>
      </c>
      <c r="DQ1" s="6" t="s">
        <v>131</v>
      </c>
      <c r="DR1" s="6" t="s">
        <v>326</v>
      </c>
      <c r="DS1" s="6" t="s">
        <v>327</v>
      </c>
      <c r="DT1" s="6" t="s">
        <v>328</v>
      </c>
      <c r="DU1" s="6" t="s">
        <v>329</v>
      </c>
      <c r="DV1" s="6" t="s">
        <v>330</v>
      </c>
      <c r="DW1" s="6" t="s">
        <v>331</v>
      </c>
      <c r="DX1" s="6" t="s">
        <v>332</v>
      </c>
      <c r="DY1" s="6" t="s">
        <v>333</v>
      </c>
      <c r="DZ1" s="6" t="s">
        <v>334</v>
      </c>
      <c r="EA1" s="6" t="s">
        <v>335</v>
      </c>
      <c r="EB1" s="6" t="s">
        <v>336</v>
      </c>
      <c r="EC1" s="6" t="s">
        <v>337</v>
      </c>
      <c r="ED1" s="6" t="s">
        <v>338</v>
      </c>
      <c r="EE1" s="6" t="s">
        <v>339</v>
      </c>
      <c r="EF1" s="6" t="s">
        <v>340</v>
      </c>
      <c r="EG1" s="6" t="s">
        <v>341</v>
      </c>
      <c r="EH1" s="6" t="s">
        <v>342</v>
      </c>
      <c r="EI1" s="6" t="s">
        <v>343</v>
      </c>
      <c r="EJ1" s="6" t="s">
        <v>344</v>
      </c>
      <c r="EK1" s="6" t="s">
        <v>345</v>
      </c>
      <c r="EL1" s="6" t="s">
        <v>127</v>
      </c>
      <c r="EM1" s="6" t="s">
        <v>346</v>
      </c>
      <c r="EN1" s="6" t="s">
        <v>347</v>
      </c>
      <c r="EO1" s="6" t="s">
        <v>348</v>
      </c>
      <c r="EP1" s="6" t="s">
        <v>349</v>
      </c>
      <c r="EQ1" s="6" t="s">
        <v>350</v>
      </c>
      <c r="ER1" s="6" t="s">
        <v>351</v>
      </c>
      <c r="ES1" s="6" t="s">
        <v>352</v>
      </c>
      <c r="ET1" s="6" t="s">
        <v>353</v>
      </c>
      <c r="EU1" s="6" t="s">
        <v>354</v>
      </c>
      <c r="EV1" s="6" t="s">
        <v>355</v>
      </c>
      <c r="EW1" s="6" t="s">
        <v>356</v>
      </c>
      <c r="EX1" s="6" t="s">
        <v>357</v>
      </c>
      <c r="EY1" s="6" t="s">
        <v>358</v>
      </c>
      <c r="EZ1" s="6" t="s">
        <v>359</v>
      </c>
      <c r="FA1" s="6" t="s">
        <v>360</v>
      </c>
      <c r="FB1" s="6" t="s">
        <v>361</v>
      </c>
      <c r="FC1" s="6" t="s">
        <v>362</v>
      </c>
      <c r="FD1" s="6" t="s">
        <v>363</v>
      </c>
      <c r="FE1" s="6" t="s">
        <v>364</v>
      </c>
      <c r="FF1" s="6" t="s">
        <v>365</v>
      </c>
      <c r="FG1" s="6" t="s">
        <v>366</v>
      </c>
      <c r="FH1" s="6" t="s">
        <v>367</v>
      </c>
      <c r="FI1" s="6" t="s">
        <v>368</v>
      </c>
      <c r="FJ1" s="6" t="s">
        <v>122</v>
      </c>
      <c r="FK1" s="6" t="s">
        <v>369</v>
      </c>
      <c r="FL1" s="6" t="s">
        <v>370</v>
      </c>
      <c r="FM1" s="6" t="s">
        <v>371</v>
      </c>
      <c r="FN1" s="6" t="s">
        <v>372</v>
      </c>
      <c r="FO1" s="6" t="s">
        <v>373</v>
      </c>
      <c r="FP1" s="6" t="s">
        <v>374</v>
      </c>
      <c r="FQ1" s="6" t="s">
        <v>375</v>
      </c>
      <c r="FR1" s="6" t="s">
        <v>376</v>
      </c>
      <c r="FS1" s="6" t="s">
        <v>377</v>
      </c>
      <c r="FT1" s="6" t="s">
        <v>378</v>
      </c>
      <c r="FU1" s="6" t="s">
        <v>379</v>
      </c>
      <c r="FV1" s="6" t="s">
        <v>380</v>
      </c>
      <c r="FW1" s="6" t="s">
        <v>381</v>
      </c>
      <c r="FX1" s="6" t="s">
        <v>382</v>
      </c>
      <c r="FY1" s="6" t="s">
        <v>383</v>
      </c>
      <c r="FZ1" s="6" t="s">
        <v>384</v>
      </c>
      <c r="GA1" s="6" t="s">
        <v>385</v>
      </c>
      <c r="GB1" s="6" t="s">
        <v>386</v>
      </c>
      <c r="GC1" s="6" t="s">
        <v>123</v>
      </c>
      <c r="GD1" s="6" t="s">
        <v>387</v>
      </c>
      <c r="GE1" s="6" t="s">
        <v>388</v>
      </c>
      <c r="GF1" s="6" t="s">
        <v>389</v>
      </c>
      <c r="GG1" s="6" t="s">
        <v>390</v>
      </c>
      <c r="GH1" s="6" t="s">
        <v>391</v>
      </c>
      <c r="GI1" s="6" t="s">
        <v>392</v>
      </c>
      <c r="GJ1" s="6" t="s">
        <v>393</v>
      </c>
      <c r="GK1" s="6" t="s">
        <v>394</v>
      </c>
      <c r="GL1" s="6" t="s">
        <v>395</v>
      </c>
      <c r="GM1" s="6" t="s">
        <v>396</v>
      </c>
      <c r="GN1" s="6" t="s">
        <v>397</v>
      </c>
      <c r="GO1" s="6" t="s">
        <v>398</v>
      </c>
      <c r="GP1" s="6" t="s">
        <v>399</v>
      </c>
      <c r="GQ1" s="6" t="s">
        <v>400</v>
      </c>
      <c r="GR1" s="6" t="s">
        <v>401</v>
      </c>
      <c r="GS1" s="6" t="s">
        <v>68</v>
      </c>
      <c r="GT1" s="6" t="s">
        <v>402</v>
      </c>
      <c r="GU1" s="6" t="s">
        <v>403</v>
      </c>
    </row>
    <row r="2" spans="1:203" x14ac:dyDescent="0.3">
      <c r="A2" s="7" t="s">
        <v>137</v>
      </c>
      <c r="B2" s="8" t="s">
        <v>405</v>
      </c>
      <c r="C2" s="8">
        <v>33000</v>
      </c>
      <c r="D2" s="8">
        <v>2200</v>
      </c>
      <c r="E2" s="8">
        <f>(220+270)/2</f>
        <v>245</v>
      </c>
      <c r="F2" s="8">
        <v>3500</v>
      </c>
      <c r="G2" s="8">
        <v>0</v>
      </c>
      <c r="H2" s="8">
        <v>2000</v>
      </c>
      <c r="I2" s="8">
        <v>0</v>
      </c>
      <c r="J2" s="8">
        <f>(400+492)/2</f>
        <v>446</v>
      </c>
      <c r="K2" s="8">
        <v>100.47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 t="s">
        <v>408</v>
      </c>
      <c r="GT2" s="8"/>
      <c r="GU2" s="8"/>
    </row>
    <row r="3" spans="1:203" x14ac:dyDescent="0.3">
      <c r="A3" s="7" t="s">
        <v>138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</row>
    <row r="4" spans="1:203" x14ac:dyDescent="0.3">
      <c r="A4" s="7" t="s">
        <v>139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</row>
    <row r="5" spans="1:203" x14ac:dyDescent="0.3">
      <c r="A5" s="7" t="s">
        <v>140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</row>
    <row r="6" spans="1:203" x14ac:dyDescent="0.3">
      <c r="A6" s="7" t="s">
        <v>141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</row>
    <row r="7" spans="1:203" x14ac:dyDescent="0.3">
      <c r="A7" s="7" t="s">
        <v>142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</row>
    <row r="8" spans="1:203" x14ac:dyDescent="0.3">
      <c r="A8" s="7" t="s">
        <v>143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</row>
    <row r="9" spans="1:203" x14ac:dyDescent="0.3">
      <c r="A9" s="7" t="s">
        <v>144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</row>
    <row r="10" spans="1:203" x14ac:dyDescent="0.3">
      <c r="A10" s="7" t="s">
        <v>145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</row>
    <row r="11" spans="1:203" x14ac:dyDescent="0.3">
      <c r="A11" s="7" t="s">
        <v>125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</row>
    <row r="12" spans="1:203" x14ac:dyDescent="0.3">
      <c r="A12" s="7" t="s">
        <v>129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</row>
    <row r="13" spans="1:203" x14ac:dyDescent="0.3">
      <c r="A13" s="7" t="s">
        <v>146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</row>
    <row r="14" spans="1:203" x14ac:dyDescent="0.3">
      <c r="A14" s="7" t="s">
        <v>147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</row>
    <row r="15" spans="1:203" x14ac:dyDescent="0.3">
      <c r="A15" s="7" t="s">
        <v>148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</row>
    <row r="16" spans="1:203" x14ac:dyDescent="0.3">
      <c r="A16" s="7" t="s">
        <v>149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</row>
    <row r="17" spans="1:203" x14ac:dyDescent="0.3">
      <c r="A17" s="7" t="s">
        <v>150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</row>
    <row r="18" spans="1:203" x14ac:dyDescent="0.3">
      <c r="A18" s="7" t="s">
        <v>151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</row>
    <row r="19" spans="1:203" x14ac:dyDescent="0.3">
      <c r="A19" s="7" t="s">
        <v>152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</row>
    <row r="20" spans="1:203" x14ac:dyDescent="0.3">
      <c r="A20" s="7" t="s">
        <v>153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</row>
    <row r="21" spans="1:203" x14ac:dyDescent="0.3">
      <c r="A21" s="7" t="s">
        <v>154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</row>
    <row r="22" spans="1:203" x14ac:dyDescent="0.3">
      <c r="A22" s="7" t="s">
        <v>155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</row>
    <row r="23" spans="1:203" x14ac:dyDescent="0.3">
      <c r="A23" s="7" t="s">
        <v>156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</row>
    <row r="24" spans="1:203" x14ac:dyDescent="0.3">
      <c r="A24" s="7" t="s">
        <v>157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</row>
    <row r="25" spans="1:203" x14ac:dyDescent="0.3">
      <c r="A25" s="7" t="s">
        <v>158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</row>
    <row r="26" spans="1:203" x14ac:dyDescent="0.3">
      <c r="A26" s="7" t="s">
        <v>133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</row>
    <row r="27" spans="1:203" x14ac:dyDescent="0.3">
      <c r="A27" s="7" t="s">
        <v>159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</row>
    <row r="28" spans="1:203" x14ac:dyDescent="0.3">
      <c r="A28" s="7" t="s">
        <v>160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</row>
    <row r="29" spans="1:203" x14ac:dyDescent="0.3">
      <c r="A29" s="7" t="s">
        <v>161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</row>
    <row r="30" spans="1:203" x14ac:dyDescent="0.3">
      <c r="A30" s="7" t="s">
        <v>162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</row>
    <row r="31" spans="1:203" x14ac:dyDescent="0.3">
      <c r="A31" s="7" t="s">
        <v>163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</row>
    <row r="32" spans="1:203" x14ac:dyDescent="0.3">
      <c r="A32" s="7" t="s">
        <v>164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</row>
    <row r="33" spans="1:203" x14ac:dyDescent="0.3">
      <c r="A33" s="7" t="s">
        <v>165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</row>
    <row r="34" spans="1:203" x14ac:dyDescent="0.3">
      <c r="A34" s="7" t="s">
        <v>166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</row>
    <row r="35" spans="1:203" x14ac:dyDescent="0.3">
      <c r="A35" s="7" t="s">
        <v>167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</row>
    <row r="36" spans="1:203" x14ac:dyDescent="0.3">
      <c r="A36" s="7" t="s">
        <v>168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</row>
    <row r="37" spans="1:203" x14ac:dyDescent="0.3">
      <c r="A37" s="7" t="s">
        <v>169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</row>
    <row r="38" spans="1:203" x14ac:dyDescent="0.3">
      <c r="A38" s="7" t="s">
        <v>170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</row>
    <row r="39" spans="1:203" x14ac:dyDescent="0.3">
      <c r="A39" s="7" t="s">
        <v>171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</row>
    <row r="40" spans="1:203" x14ac:dyDescent="0.3">
      <c r="A40" s="7" t="s">
        <v>172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</row>
    <row r="41" spans="1:203" x14ac:dyDescent="0.3">
      <c r="A41" s="7" t="s">
        <v>173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</row>
    <row r="42" spans="1:203" x14ac:dyDescent="0.3">
      <c r="A42" s="7" t="s">
        <v>174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</row>
    <row r="43" spans="1:203" x14ac:dyDescent="0.3">
      <c r="A43" s="7" t="s">
        <v>175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</row>
    <row r="44" spans="1:203" x14ac:dyDescent="0.3">
      <c r="A44" s="7" t="s">
        <v>176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</row>
    <row r="45" spans="1:203" x14ac:dyDescent="0.3">
      <c r="A45" s="7" t="s">
        <v>177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</row>
    <row r="46" spans="1:203" x14ac:dyDescent="0.3">
      <c r="A46" s="7" t="s">
        <v>178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</row>
    <row r="47" spans="1:203" x14ac:dyDescent="0.3">
      <c r="A47" s="7" t="s">
        <v>179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</row>
    <row r="48" spans="1:203" x14ac:dyDescent="0.3">
      <c r="A48" s="7" t="s">
        <v>180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</row>
    <row r="49" spans="1:203" x14ac:dyDescent="0.3">
      <c r="A49" s="7" t="s">
        <v>181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</row>
    <row r="50" spans="1:203" x14ac:dyDescent="0.3">
      <c r="A50" s="7" t="s">
        <v>182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</row>
    <row r="51" spans="1:203" x14ac:dyDescent="0.3">
      <c r="A51" s="7" t="s">
        <v>183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</row>
    <row r="52" spans="1:203" x14ac:dyDescent="0.3">
      <c r="A52" s="7" t="s">
        <v>184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</row>
    <row r="53" spans="1:203" x14ac:dyDescent="0.3">
      <c r="A53" s="7" t="s">
        <v>185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</row>
    <row r="54" spans="1:203" x14ac:dyDescent="0.3">
      <c r="A54" s="7" t="s">
        <v>186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</row>
    <row r="55" spans="1:203" x14ac:dyDescent="0.3">
      <c r="A55" s="7" t="s">
        <v>187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</row>
    <row r="56" spans="1:203" x14ac:dyDescent="0.3">
      <c r="A56" s="7" t="s">
        <v>188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</row>
    <row r="57" spans="1:203" x14ac:dyDescent="0.3">
      <c r="A57" s="7" t="s">
        <v>189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</row>
    <row r="58" spans="1:203" x14ac:dyDescent="0.3">
      <c r="A58" s="7" t="s">
        <v>190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</row>
    <row r="59" spans="1:203" x14ac:dyDescent="0.3">
      <c r="A59" s="7" t="s">
        <v>191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</row>
    <row r="60" spans="1:203" x14ac:dyDescent="0.3">
      <c r="A60" s="7" t="s">
        <v>192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</row>
    <row r="61" spans="1:203" x14ac:dyDescent="0.3">
      <c r="A61" s="7" t="s">
        <v>193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</row>
    <row r="62" spans="1:203" x14ac:dyDescent="0.3">
      <c r="A62" s="7" t="s">
        <v>194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</row>
    <row r="63" spans="1:203" x14ac:dyDescent="0.3">
      <c r="A63" s="7" t="s">
        <v>195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</row>
    <row r="64" spans="1:203" x14ac:dyDescent="0.3">
      <c r="A64" s="7" t="s">
        <v>196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</row>
    <row r="65" spans="1:203" x14ac:dyDescent="0.3">
      <c r="A65" s="7" t="s">
        <v>197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</row>
    <row r="66" spans="1:203" x14ac:dyDescent="0.3">
      <c r="A66" s="7" t="s">
        <v>198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</row>
    <row r="67" spans="1:203" x14ac:dyDescent="0.3">
      <c r="A67" s="7" t="s">
        <v>199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</row>
    <row r="68" spans="1:203" x14ac:dyDescent="0.3">
      <c r="A68" s="7" t="s">
        <v>200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</row>
    <row r="69" spans="1:203" x14ac:dyDescent="0.3">
      <c r="A69" s="7" t="s">
        <v>201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</row>
    <row r="70" spans="1:203" x14ac:dyDescent="0.3">
      <c r="A70" s="7" t="s">
        <v>202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</row>
    <row r="71" spans="1:203" x14ac:dyDescent="0.3">
      <c r="A71" s="7" t="s">
        <v>203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</row>
    <row r="72" spans="1:203" x14ac:dyDescent="0.3">
      <c r="A72" s="7" t="s">
        <v>204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</row>
    <row r="73" spans="1:203" x14ac:dyDescent="0.3">
      <c r="A73" s="7" t="s">
        <v>205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</row>
    <row r="74" spans="1:203" x14ac:dyDescent="0.3">
      <c r="A74" s="7" t="s">
        <v>206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</row>
    <row r="75" spans="1:203" x14ac:dyDescent="0.3">
      <c r="A75" s="7" t="s">
        <v>207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</row>
    <row r="76" spans="1:203" x14ac:dyDescent="0.3">
      <c r="A76" s="7" t="s">
        <v>208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</row>
    <row r="77" spans="1:203" x14ac:dyDescent="0.3">
      <c r="A77" s="7" t="s">
        <v>209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</row>
    <row r="78" spans="1:203" x14ac:dyDescent="0.3">
      <c r="A78" s="7" t="s">
        <v>210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</row>
    <row r="79" spans="1:203" x14ac:dyDescent="0.3">
      <c r="A79" s="7" t="s">
        <v>211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</row>
    <row r="80" spans="1:203" x14ac:dyDescent="0.3">
      <c r="A80" s="7" t="s">
        <v>212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</row>
    <row r="81" spans="1:203" x14ac:dyDescent="0.3">
      <c r="A81" s="7" t="s">
        <v>213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</row>
    <row r="82" spans="1:203" x14ac:dyDescent="0.3">
      <c r="A82" s="7" t="s">
        <v>214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</row>
    <row r="83" spans="1:203" x14ac:dyDescent="0.3">
      <c r="A83" s="7" t="s">
        <v>215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50F4-771D-4A49-9032-A5A5FCCD6B52}">
  <dimension ref="A1:GS96"/>
  <sheetViews>
    <sheetView tabSelected="1" workbookViewId="0">
      <selection activeCell="B92" sqref="B92"/>
    </sheetView>
  </sheetViews>
  <sheetFormatPr defaultRowHeight="14.4" x14ac:dyDescent="0.3"/>
  <cols>
    <col min="1" max="1" width="19" style="5" bestFit="1" customWidth="1"/>
    <col min="2" max="2" width="17.77734375" style="1" bestFit="1" customWidth="1"/>
    <col min="3" max="3" width="11.21875" style="1" bestFit="1" customWidth="1"/>
    <col min="4" max="4" width="7.77734375" style="1" bestFit="1" customWidth="1"/>
    <col min="5" max="5" width="7.33203125" style="1" bestFit="1" customWidth="1"/>
    <col min="6" max="6" width="8.21875" style="1" bestFit="1" customWidth="1"/>
    <col min="7" max="7" width="7.21875" style="1" bestFit="1" customWidth="1"/>
    <col min="8" max="8" width="18.6640625" style="1" bestFit="1" customWidth="1"/>
    <col min="9" max="9" width="9.44140625" style="1" bestFit="1" customWidth="1"/>
    <col min="10" max="10" width="8.44140625" style="1" bestFit="1" customWidth="1"/>
    <col min="11" max="11" width="9" style="1" bestFit="1" customWidth="1"/>
    <col min="12" max="12" width="7.44140625" style="1" bestFit="1" customWidth="1"/>
    <col min="13" max="13" width="10.109375" style="1" bestFit="1" customWidth="1"/>
    <col min="14" max="14" width="9.21875" style="1" bestFit="1" customWidth="1"/>
    <col min="15" max="15" width="7.88671875" style="1" bestFit="1" customWidth="1"/>
    <col min="16" max="16" width="11.21875" style="1" bestFit="1" customWidth="1"/>
    <col min="17" max="17" width="9.44140625" style="1" bestFit="1" customWidth="1"/>
    <col min="18" max="18" width="7.88671875" style="1" bestFit="1" customWidth="1"/>
    <col min="19" max="19" width="8.21875" style="1" bestFit="1" customWidth="1"/>
    <col min="20" max="20" width="6.5546875" style="1" bestFit="1" customWidth="1"/>
    <col min="21" max="21" width="6.21875" style="1" bestFit="1" customWidth="1"/>
    <col min="22" max="22" width="7.44140625" style="1" bestFit="1" customWidth="1"/>
    <col min="23" max="23" width="7.109375" style="1" bestFit="1" customWidth="1"/>
    <col min="24" max="24" width="21.109375" style="1" bestFit="1" customWidth="1"/>
    <col min="25" max="25" width="9.6640625" style="1" bestFit="1" customWidth="1"/>
    <col min="26" max="26" width="6.21875" style="1" bestFit="1" customWidth="1"/>
    <col min="27" max="27" width="6.88671875" style="1" bestFit="1" customWidth="1"/>
    <col min="28" max="28" width="8.33203125" style="1" bestFit="1" customWidth="1"/>
    <col min="29" max="29" width="12.109375" style="1" bestFit="1" customWidth="1"/>
    <col min="30" max="30" width="8" style="1" bestFit="1" customWidth="1"/>
    <col min="31" max="31" width="11.109375" style="1" bestFit="1" customWidth="1"/>
    <col min="32" max="32" width="10" style="1" bestFit="1" customWidth="1"/>
    <col min="33" max="33" width="10.109375" style="1" bestFit="1" customWidth="1"/>
    <col min="34" max="34" width="8" style="1" bestFit="1" customWidth="1"/>
    <col min="35" max="35" width="21.6640625" style="1" bestFit="1" customWidth="1"/>
    <col min="36" max="36" width="6" style="1" bestFit="1" customWidth="1"/>
    <col min="37" max="37" width="5.88671875" style="1" bestFit="1" customWidth="1"/>
    <col min="38" max="38" width="6.33203125" style="1" bestFit="1" customWidth="1"/>
    <col min="39" max="39" width="9.44140625" style="1" bestFit="1" customWidth="1"/>
    <col min="40" max="40" width="9" style="1" bestFit="1" customWidth="1"/>
    <col min="41" max="41" width="7.109375" style="1" bestFit="1" customWidth="1"/>
    <col min="42" max="42" width="10.33203125" style="1" bestFit="1" customWidth="1"/>
    <col min="43" max="43" width="11.88671875" style="1" bestFit="1" customWidth="1"/>
    <col min="44" max="44" width="7.6640625" style="1" bestFit="1" customWidth="1"/>
    <col min="45" max="45" width="5.88671875" style="1" bestFit="1" customWidth="1"/>
    <col min="46" max="46" width="7.33203125" style="1" bestFit="1" customWidth="1"/>
    <col min="47" max="47" width="8.109375" style="1" bestFit="1" customWidth="1"/>
    <col min="48" max="48" width="26.44140625" style="1" bestFit="1" customWidth="1"/>
    <col min="49" max="49" width="9.109375" style="1" bestFit="1" customWidth="1"/>
    <col min="50" max="50" width="7.88671875" style="1" bestFit="1" customWidth="1"/>
    <col min="51" max="51" width="9.33203125" style="1" bestFit="1" customWidth="1"/>
    <col min="52" max="52" width="18" style="1" bestFit="1" customWidth="1"/>
    <col min="53" max="53" width="8.44140625" style="1" bestFit="1" customWidth="1"/>
    <col min="54" max="54" width="6.109375" style="1" bestFit="1" customWidth="1"/>
    <col min="55" max="55" width="10.88671875" style="1" bestFit="1" customWidth="1"/>
    <col min="56" max="56" width="16.21875" style="1" bestFit="1" customWidth="1"/>
    <col min="57" max="57" width="7.109375" style="1" bestFit="1" customWidth="1"/>
    <col min="58" max="58" width="7.6640625" style="1" bestFit="1" customWidth="1"/>
    <col min="59" max="59" width="8.44140625" style="1" bestFit="1" customWidth="1"/>
    <col min="60" max="60" width="8.21875" style="1" bestFit="1" customWidth="1"/>
    <col min="61" max="61" width="14.88671875" style="1" bestFit="1" customWidth="1"/>
    <col min="62" max="62" width="4" style="1" bestFit="1" customWidth="1"/>
    <col min="63" max="63" width="7.77734375" style="1" bestFit="1" customWidth="1"/>
    <col min="64" max="64" width="7.33203125" style="1" bestFit="1" customWidth="1"/>
    <col min="65" max="65" width="6.88671875" style="1" bestFit="1" customWidth="1"/>
    <col min="66" max="67" width="7.88671875" style="1" bestFit="1" customWidth="1"/>
    <col min="68" max="68" width="9" style="1" bestFit="1" customWidth="1"/>
    <col min="69" max="69" width="6.88671875" style="1" bestFit="1" customWidth="1"/>
    <col min="70" max="70" width="7.5546875" style="1" bestFit="1" customWidth="1"/>
    <col min="71" max="71" width="8.6640625" style="1" bestFit="1" customWidth="1"/>
    <col min="72" max="72" width="10.6640625" style="1" bestFit="1" customWidth="1"/>
    <col min="73" max="73" width="7.33203125" style="1" bestFit="1" customWidth="1"/>
    <col min="74" max="74" width="13.44140625" style="1" bestFit="1" customWidth="1"/>
    <col min="75" max="75" width="7.77734375" style="1" bestFit="1" customWidth="1"/>
    <col min="76" max="76" width="5.5546875" style="1" bestFit="1" customWidth="1"/>
    <col min="77" max="77" width="8.88671875" style="1"/>
    <col min="78" max="78" width="9.6640625" style="1" bestFit="1" customWidth="1"/>
    <col min="79" max="79" width="8.44140625" style="1" bestFit="1" customWidth="1"/>
    <col min="80" max="80" width="7.88671875" style="1" bestFit="1" customWidth="1"/>
    <col min="81" max="81" width="9.6640625" style="1" bestFit="1" customWidth="1"/>
    <col min="82" max="82" width="4.88671875" style="1" bestFit="1" customWidth="1"/>
    <col min="83" max="83" width="5" style="1" bestFit="1" customWidth="1"/>
    <col min="84" max="84" width="7.5546875" style="1" bestFit="1" customWidth="1"/>
    <col min="85" max="85" width="6.33203125" style="1" bestFit="1" customWidth="1"/>
    <col min="86" max="86" width="5.33203125" style="1" bestFit="1" customWidth="1"/>
    <col min="87" max="87" width="8.33203125" style="1" bestFit="1" customWidth="1"/>
    <col min="88" max="88" width="6.33203125" style="1" bestFit="1" customWidth="1"/>
    <col min="89" max="89" width="6.77734375" style="1" bestFit="1" customWidth="1"/>
    <col min="90" max="90" width="7.109375" style="1" bestFit="1" customWidth="1"/>
    <col min="91" max="91" width="11.109375" style="1" bestFit="1" customWidth="1"/>
    <col min="92" max="92" width="6.6640625" style="1" bestFit="1" customWidth="1"/>
    <col min="93" max="93" width="7.44140625" style="1" bestFit="1" customWidth="1"/>
    <col min="94" max="94" width="7.21875" style="1" bestFit="1" customWidth="1"/>
    <col min="95" max="95" width="10.44140625" style="1" bestFit="1" customWidth="1"/>
    <col min="96" max="96" width="5.44140625" style="1" bestFit="1" customWidth="1"/>
    <col min="97" max="97" width="6.5546875" style="1" bestFit="1" customWidth="1"/>
    <col min="98" max="98" width="8.5546875" style="1" bestFit="1" customWidth="1"/>
    <col min="99" max="99" width="8.109375" style="1" bestFit="1" customWidth="1"/>
    <col min="100" max="100" width="7.109375" style="1" bestFit="1" customWidth="1"/>
    <col min="101" max="101" width="5.88671875" style="1" bestFit="1" customWidth="1"/>
    <col min="102" max="102" width="12.6640625" style="1" bestFit="1" customWidth="1"/>
    <col min="103" max="103" width="9.109375" style="1" bestFit="1" customWidth="1"/>
    <col min="104" max="104" width="10.5546875" style="1" bestFit="1" customWidth="1"/>
    <col min="105" max="105" width="11.6640625" style="1" bestFit="1" customWidth="1"/>
    <col min="106" max="106" width="7.44140625" style="1" bestFit="1" customWidth="1"/>
    <col min="107" max="107" width="8.88671875" style="1"/>
    <col min="108" max="108" width="9" style="1" bestFit="1" customWidth="1"/>
    <col min="109" max="109" width="5.109375" style="1" bestFit="1" customWidth="1"/>
    <col min="110" max="110" width="6.33203125" style="1" bestFit="1" customWidth="1"/>
    <col min="111" max="111" width="15.21875" style="1" bestFit="1" customWidth="1"/>
    <col min="112" max="112" width="10.33203125" style="1" bestFit="1" customWidth="1"/>
    <col min="113" max="113" width="9.21875" style="1" bestFit="1" customWidth="1"/>
    <col min="114" max="114" width="7.44140625" style="1" bestFit="1" customWidth="1"/>
    <col min="115" max="115" width="10.5546875" style="1" bestFit="1" customWidth="1"/>
    <col min="116" max="116" width="8.6640625" style="1" bestFit="1" customWidth="1"/>
    <col min="117" max="117" width="8.109375" style="1" bestFit="1" customWidth="1"/>
    <col min="118" max="118" width="9" style="1" bestFit="1" customWidth="1"/>
    <col min="119" max="119" width="11.33203125" style="1" bestFit="1" customWidth="1"/>
    <col min="120" max="120" width="8.77734375" style="1" bestFit="1" customWidth="1"/>
    <col min="121" max="121" width="12" style="1" bestFit="1" customWidth="1"/>
    <col min="122" max="122" width="9.21875" style="1" bestFit="1" customWidth="1"/>
    <col min="123" max="123" width="8.44140625" style="1" bestFit="1" customWidth="1"/>
    <col min="124" max="124" width="6.6640625" style="1" bestFit="1" customWidth="1"/>
    <col min="125" max="125" width="6.5546875" style="1" bestFit="1" customWidth="1"/>
    <col min="126" max="126" width="11.88671875" style="1" bestFit="1" customWidth="1"/>
    <col min="127" max="127" width="12.33203125" style="1" bestFit="1" customWidth="1"/>
    <col min="128" max="128" width="10" style="1" bestFit="1" customWidth="1"/>
    <col min="129" max="129" width="6" style="1" bestFit="1" customWidth="1"/>
    <col min="130" max="130" width="7.44140625" style="1" bestFit="1" customWidth="1"/>
    <col min="131" max="131" width="11.44140625" style="1" bestFit="1" customWidth="1"/>
    <col min="132" max="132" width="15.77734375" style="1" bestFit="1" customWidth="1"/>
    <col min="133" max="133" width="7.88671875" style="1" bestFit="1" customWidth="1"/>
    <col min="134" max="134" width="6.5546875" style="1" bestFit="1" customWidth="1"/>
    <col min="135" max="135" width="8.77734375" style="1" bestFit="1" customWidth="1"/>
    <col min="136" max="136" width="6.33203125" style="1" bestFit="1" customWidth="1"/>
    <col min="137" max="137" width="14.21875" style="1" bestFit="1" customWidth="1"/>
    <col min="138" max="138" width="8.33203125" style="1" bestFit="1" customWidth="1"/>
    <col min="139" max="139" width="16.88671875" style="1" bestFit="1" customWidth="1"/>
    <col min="140" max="140" width="9.21875" style="1" bestFit="1" customWidth="1"/>
    <col min="141" max="141" width="5.44140625" style="1" bestFit="1" customWidth="1"/>
    <col min="142" max="142" width="10.5546875" style="1" bestFit="1" customWidth="1"/>
    <col min="143" max="143" width="7.44140625" style="1" bestFit="1" customWidth="1"/>
    <col min="144" max="144" width="8.5546875" style="1" bestFit="1" customWidth="1"/>
    <col min="145" max="145" width="6.33203125" style="1" bestFit="1" customWidth="1"/>
    <col min="146" max="146" width="8.77734375" style="1" bestFit="1" customWidth="1"/>
    <col min="147" max="147" width="7" style="1" bestFit="1" customWidth="1"/>
    <col min="148" max="148" width="8.21875" style="1" bestFit="1" customWidth="1"/>
    <col min="149" max="149" width="18.5546875" style="1" bestFit="1" customWidth="1"/>
    <col min="150" max="150" width="10.5546875" style="1" bestFit="1" customWidth="1"/>
    <col min="151" max="151" width="29" style="1" bestFit="1" customWidth="1"/>
    <col min="152" max="152" width="7.33203125" style="1" bestFit="1" customWidth="1"/>
    <col min="153" max="153" width="10.6640625" style="1" bestFit="1" customWidth="1"/>
    <col min="154" max="154" width="20.21875" style="1" bestFit="1" customWidth="1"/>
    <col min="155" max="155" width="11.88671875" style="1" bestFit="1" customWidth="1"/>
    <col min="156" max="156" width="8.21875" style="1" bestFit="1" customWidth="1"/>
    <col min="157" max="157" width="6.88671875" style="1" bestFit="1" customWidth="1"/>
    <col min="158" max="158" width="10.6640625" style="1" bestFit="1" customWidth="1"/>
    <col min="159" max="159" width="11.77734375" style="1" bestFit="1" customWidth="1"/>
    <col min="160" max="160" width="9.77734375" style="1" bestFit="1" customWidth="1"/>
    <col min="161" max="162" width="8.6640625" style="1" bestFit="1" customWidth="1"/>
    <col min="163" max="163" width="15.33203125" style="1" bestFit="1" customWidth="1"/>
    <col min="164" max="164" width="8.33203125" style="1" bestFit="1" customWidth="1"/>
    <col min="165" max="166" width="11.5546875" style="1" bestFit="1" customWidth="1"/>
    <col min="167" max="167" width="12" style="1" bestFit="1" customWidth="1"/>
    <col min="168" max="168" width="6.21875" style="1" bestFit="1" customWidth="1"/>
    <col min="169" max="169" width="9.109375" style="1" bestFit="1" customWidth="1"/>
    <col min="170" max="170" width="6.88671875" style="1" bestFit="1" customWidth="1"/>
    <col min="171" max="171" width="9.44140625" style="1" bestFit="1" customWidth="1"/>
    <col min="172" max="172" width="8.21875" style="1" bestFit="1" customWidth="1"/>
    <col min="173" max="173" width="11.33203125" style="1" bestFit="1" customWidth="1"/>
    <col min="174" max="174" width="5.77734375" style="1" bestFit="1" customWidth="1"/>
    <col min="175" max="175" width="7.33203125" style="1" bestFit="1" customWidth="1"/>
    <col min="176" max="176" width="9.44140625" style="1" bestFit="1" customWidth="1"/>
    <col min="177" max="177" width="8.77734375" style="1" bestFit="1" customWidth="1"/>
    <col min="178" max="178" width="8.6640625" style="1" bestFit="1" customWidth="1"/>
    <col min="179" max="179" width="11.33203125" style="1" bestFit="1" customWidth="1"/>
    <col min="180" max="180" width="5.44140625" style="1" bestFit="1" customWidth="1"/>
    <col min="181" max="181" width="6.44140625" style="1" bestFit="1" customWidth="1"/>
    <col min="182" max="182" width="18.109375" style="1" bestFit="1" customWidth="1"/>
    <col min="183" max="183" width="7.33203125" style="1" bestFit="1" customWidth="1"/>
    <col min="184" max="184" width="7.109375" style="1" bestFit="1" customWidth="1"/>
    <col min="185" max="185" width="12.77734375" style="1" bestFit="1" customWidth="1"/>
    <col min="186" max="186" width="7" style="1" bestFit="1" customWidth="1"/>
    <col min="187" max="187" width="7.88671875" style="1" bestFit="1" customWidth="1"/>
    <col min="188" max="188" width="8" style="1" bestFit="1" customWidth="1"/>
    <col min="189" max="189" width="19" style="1" bestFit="1" customWidth="1"/>
    <col min="190" max="190" width="14.6640625" style="1" bestFit="1" customWidth="1"/>
    <col min="191" max="191" width="22.109375" style="1" bestFit="1" customWidth="1"/>
    <col min="192" max="192" width="8.33203125" style="1" bestFit="1" customWidth="1"/>
    <col min="193" max="193" width="10.6640625" style="1" bestFit="1" customWidth="1"/>
    <col min="194" max="194" width="8.44140625" style="1" bestFit="1" customWidth="1"/>
    <col min="195" max="195" width="10.109375" style="1" bestFit="1" customWidth="1"/>
    <col min="196" max="196" width="8.44140625" style="1" bestFit="1" customWidth="1"/>
    <col min="197" max="197" width="7.21875" style="1" bestFit="1" customWidth="1"/>
    <col min="198" max="198" width="7.6640625" style="1" bestFit="1" customWidth="1"/>
    <col min="199" max="199" width="10.5546875" style="1" bestFit="1" customWidth="1"/>
    <col min="200" max="200" width="23.77734375" style="1" bestFit="1" customWidth="1"/>
    <col min="201" max="201" width="27.5546875" style="1" bestFit="1" customWidth="1"/>
    <col min="202" max="16384" width="8.88671875" style="1"/>
  </cols>
  <sheetData>
    <row r="1" spans="1:201" s="2" customFormat="1" x14ac:dyDescent="0.3">
      <c r="A1" s="6"/>
      <c r="B1" s="6" t="s">
        <v>809</v>
      </c>
      <c r="C1" s="6" t="s">
        <v>3</v>
      </c>
      <c r="D1" s="6" t="s">
        <v>72</v>
      </c>
      <c r="E1" s="6" t="s">
        <v>107</v>
      </c>
      <c r="F1" s="6" t="s">
        <v>217</v>
      </c>
      <c r="G1" s="6" t="s">
        <v>218</v>
      </c>
      <c r="H1" s="6" t="s">
        <v>219</v>
      </c>
      <c r="I1" s="6" t="s">
        <v>220</v>
      </c>
      <c r="J1" s="6" t="s">
        <v>221</v>
      </c>
      <c r="K1" s="6" t="s">
        <v>222</v>
      </c>
      <c r="L1" s="6" t="s">
        <v>223</v>
      </c>
      <c r="M1" s="6" t="s">
        <v>224</v>
      </c>
      <c r="N1" s="6" t="s">
        <v>225</v>
      </c>
      <c r="O1" s="6" t="s">
        <v>226</v>
      </c>
      <c r="P1" s="6" t="s">
        <v>227</v>
      </c>
      <c r="Q1" s="6" t="s">
        <v>228</v>
      </c>
      <c r="R1" s="6" t="s">
        <v>229</v>
      </c>
      <c r="S1" s="6" t="s">
        <v>230</v>
      </c>
      <c r="T1" s="6" t="s">
        <v>231</v>
      </c>
      <c r="U1" s="6" t="s">
        <v>232</v>
      </c>
      <c r="V1" s="6" t="s">
        <v>233</v>
      </c>
      <c r="W1" s="6" t="s">
        <v>234</v>
      </c>
      <c r="X1" s="6" t="s">
        <v>235</v>
      </c>
      <c r="Y1" s="6" t="s">
        <v>236</v>
      </c>
      <c r="Z1" s="6" t="s">
        <v>118</v>
      </c>
      <c r="AA1" s="6" t="s">
        <v>237</v>
      </c>
      <c r="AB1" s="6" t="s">
        <v>238</v>
      </c>
      <c r="AC1" s="6" t="s">
        <v>239</v>
      </c>
      <c r="AD1" s="6" t="s">
        <v>240</v>
      </c>
      <c r="AE1" s="6" t="s">
        <v>241</v>
      </c>
      <c r="AF1" s="6" t="s">
        <v>242</v>
      </c>
      <c r="AG1" s="6" t="s">
        <v>243</v>
      </c>
      <c r="AH1" s="6" t="s">
        <v>244</v>
      </c>
      <c r="AI1" s="6" t="s">
        <v>245</v>
      </c>
      <c r="AJ1" s="6" t="s">
        <v>246</v>
      </c>
      <c r="AK1" s="6" t="s">
        <v>247</v>
      </c>
      <c r="AL1" s="6" t="s">
        <v>132</v>
      </c>
      <c r="AM1" s="6" t="s">
        <v>248</v>
      </c>
      <c r="AN1" s="6" t="s">
        <v>249</v>
      </c>
      <c r="AO1" s="6" t="s">
        <v>250</v>
      </c>
      <c r="AP1" s="6" t="s">
        <v>251</v>
      </c>
      <c r="AQ1" s="6" t="s">
        <v>252</v>
      </c>
      <c r="AR1" s="6" t="s">
        <v>253</v>
      </c>
      <c r="AS1" s="6" t="s">
        <v>254</v>
      </c>
      <c r="AT1" s="6" t="s">
        <v>255</v>
      </c>
      <c r="AU1" s="6" t="s">
        <v>256</v>
      </c>
      <c r="AV1" s="6" t="s">
        <v>257</v>
      </c>
      <c r="AW1" s="6" t="s">
        <v>258</v>
      </c>
      <c r="AX1" s="6" t="s">
        <v>259</v>
      </c>
      <c r="AY1" s="6" t="s">
        <v>260</v>
      </c>
      <c r="AZ1" s="6" t="s">
        <v>261</v>
      </c>
      <c r="BA1" s="6" t="s">
        <v>262</v>
      </c>
      <c r="BB1" s="6" t="s">
        <v>263</v>
      </c>
      <c r="BC1" s="6" t="s">
        <v>264</v>
      </c>
      <c r="BD1" s="6" t="s">
        <v>265</v>
      </c>
      <c r="BE1" s="6" t="s">
        <v>266</v>
      </c>
      <c r="BF1" s="6" t="s">
        <v>267</v>
      </c>
      <c r="BG1" s="6" t="s">
        <v>268</v>
      </c>
      <c r="BH1" s="6" t="s">
        <v>269</v>
      </c>
      <c r="BI1" s="6" t="s">
        <v>270</v>
      </c>
      <c r="BJ1" s="6" t="s">
        <v>271</v>
      </c>
      <c r="BK1" s="6" t="s">
        <v>272</v>
      </c>
      <c r="BL1" s="6" t="s">
        <v>273</v>
      </c>
      <c r="BM1" s="6" t="s">
        <v>274</v>
      </c>
      <c r="BN1" s="6" t="s">
        <v>275</v>
      </c>
      <c r="BO1" s="6" t="s">
        <v>276</v>
      </c>
      <c r="BP1" s="6" t="s">
        <v>277</v>
      </c>
      <c r="BQ1" s="6" t="s">
        <v>278</v>
      </c>
      <c r="BR1" s="6" t="s">
        <v>279</v>
      </c>
      <c r="BS1" s="6" t="s">
        <v>280</v>
      </c>
      <c r="BT1" s="6" t="s">
        <v>281</v>
      </c>
      <c r="BU1" s="6" t="s">
        <v>120</v>
      </c>
      <c r="BV1" s="6" t="s">
        <v>282</v>
      </c>
      <c r="BW1" s="6" t="s">
        <v>283</v>
      </c>
      <c r="BX1" s="6" t="s">
        <v>284</v>
      </c>
      <c r="BY1" s="6" t="s">
        <v>285</v>
      </c>
      <c r="BZ1" s="6" t="s">
        <v>286</v>
      </c>
      <c r="CA1" s="6" t="s">
        <v>287</v>
      </c>
      <c r="CB1" s="6" t="s">
        <v>288</v>
      </c>
      <c r="CC1" s="6" t="s">
        <v>289</v>
      </c>
      <c r="CD1" s="6" t="s">
        <v>290</v>
      </c>
      <c r="CE1" s="6" t="s">
        <v>291</v>
      </c>
      <c r="CF1" s="6" t="s">
        <v>292</v>
      </c>
      <c r="CG1" s="6" t="s">
        <v>293</v>
      </c>
      <c r="CH1" s="6" t="s">
        <v>294</v>
      </c>
      <c r="CI1" s="6" t="s">
        <v>295</v>
      </c>
      <c r="CJ1" s="6" t="s">
        <v>296</v>
      </c>
      <c r="CK1" s="6" t="s">
        <v>297</v>
      </c>
      <c r="CL1" s="6" t="s">
        <v>298</v>
      </c>
      <c r="CM1" s="6" t="s">
        <v>124</v>
      </c>
      <c r="CN1" s="6" t="s">
        <v>299</v>
      </c>
      <c r="CO1" s="6" t="s">
        <v>300</v>
      </c>
      <c r="CP1" s="6" t="s">
        <v>301</v>
      </c>
      <c r="CQ1" s="6" t="s">
        <v>302</v>
      </c>
      <c r="CR1" s="6" t="s">
        <v>303</v>
      </c>
      <c r="CS1" s="6" t="s">
        <v>304</v>
      </c>
      <c r="CT1" s="6" t="s">
        <v>305</v>
      </c>
      <c r="CU1" s="6" t="s">
        <v>306</v>
      </c>
      <c r="CV1" s="6" t="s">
        <v>307</v>
      </c>
      <c r="CW1" s="6" t="s">
        <v>308</v>
      </c>
      <c r="CX1" s="6" t="s">
        <v>309</v>
      </c>
      <c r="CY1" s="6" t="s">
        <v>310</v>
      </c>
      <c r="CZ1" s="6" t="s">
        <v>311</v>
      </c>
      <c r="DA1" s="6" t="s">
        <v>312</v>
      </c>
      <c r="DB1" s="6" t="s">
        <v>313</v>
      </c>
      <c r="DC1" s="6" t="s">
        <v>314</v>
      </c>
      <c r="DD1" s="6" t="s">
        <v>315</v>
      </c>
      <c r="DE1" s="6" t="s">
        <v>316</v>
      </c>
      <c r="DF1" s="6" t="s">
        <v>317</v>
      </c>
      <c r="DG1" s="6" t="s">
        <v>318</v>
      </c>
      <c r="DH1" s="6" t="s">
        <v>319</v>
      </c>
      <c r="DI1" s="6" t="s">
        <v>320</v>
      </c>
      <c r="DJ1" s="6" t="s">
        <v>128</v>
      </c>
      <c r="DK1" s="6" t="s">
        <v>321</v>
      </c>
      <c r="DL1" s="6" t="s">
        <v>322</v>
      </c>
      <c r="DM1" s="6" t="s">
        <v>323</v>
      </c>
      <c r="DN1" s="6" t="s">
        <v>324</v>
      </c>
      <c r="DO1" s="6" t="s">
        <v>325</v>
      </c>
      <c r="DP1" s="6" t="s">
        <v>131</v>
      </c>
      <c r="DQ1" s="6" t="s">
        <v>326</v>
      </c>
      <c r="DR1" s="6" t="s">
        <v>327</v>
      </c>
      <c r="DS1" s="6" t="s">
        <v>328</v>
      </c>
      <c r="DT1" s="6" t="s">
        <v>329</v>
      </c>
      <c r="DU1" s="6" t="s">
        <v>330</v>
      </c>
      <c r="DV1" s="6" t="s">
        <v>331</v>
      </c>
      <c r="DW1" s="6" t="s">
        <v>332</v>
      </c>
      <c r="DX1" s="6" t="s">
        <v>333</v>
      </c>
      <c r="DY1" s="6" t="s">
        <v>334</v>
      </c>
      <c r="DZ1" s="6" t="s">
        <v>335</v>
      </c>
      <c r="EA1" s="6" t="s">
        <v>336</v>
      </c>
      <c r="EB1" s="6" t="s">
        <v>337</v>
      </c>
      <c r="EC1" s="6" t="s">
        <v>338</v>
      </c>
      <c r="ED1" s="6" t="s">
        <v>339</v>
      </c>
      <c r="EE1" s="6" t="s">
        <v>340</v>
      </c>
      <c r="EF1" s="6" t="s">
        <v>341</v>
      </c>
      <c r="EG1" s="6" t="s">
        <v>342</v>
      </c>
      <c r="EH1" s="6" t="s">
        <v>343</v>
      </c>
      <c r="EI1" s="6" t="s">
        <v>344</v>
      </c>
      <c r="EJ1" s="6" t="s">
        <v>345</v>
      </c>
      <c r="EK1" s="6" t="s">
        <v>127</v>
      </c>
      <c r="EL1" s="6" t="s">
        <v>346</v>
      </c>
      <c r="EM1" s="6" t="s">
        <v>347</v>
      </c>
      <c r="EN1" s="6" t="s">
        <v>348</v>
      </c>
      <c r="EO1" s="6" t="s">
        <v>349</v>
      </c>
      <c r="EP1" s="6" t="s">
        <v>350</v>
      </c>
      <c r="EQ1" s="6" t="s">
        <v>351</v>
      </c>
      <c r="ER1" s="6" t="s">
        <v>352</v>
      </c>
      <c r="ES1" s="6" t="s">
        <v>353</v>
      </c>
      <c r="ET1" s="6" t="s">
        <v>354</v>
      </c>
      <c r="EU1" s="6" t="s">
        <v>355</v>
      </c>
      <c r="EV1" s="6" t="s">
        <v>356</v>
      </c>
      <c r="EW1" s="6" t="s">
        <v>357</v>
      </c>
      <c r="EX1" s="6" t="s">
        <v>358</v>
      </c>
      <c r="EY1" s="6" t="s">
        <v>359</v>
      </c>
      <c r="EZ1" s="6" t="s">
        <v>360</v>
      </c>
      <c r="FA1" s="6" t="s">
        <v>361</v>
      </c>
      <c r="FB1" s="6" t="s">
        <v>362</v>
      </c>
      <c r="FC1" s="6" t="s">
        <v>363</v>
      </c>
      <c r="FD1" s="6" t="s">
        <v>364</v>
      </c>
      <c r="FE1" s="6" t="s">
        <v>365</v>
      </c>
      <c r="FF1" s="6" t="s">
        <v>366</v>
      </c>
      <c r="FG1" s="6" t="s">
        <v>367</v>
      </c>
      <c r="FH1" s="6" t="s">
        <v>368</v>
      </c>
      <c r="FI1" s="6" t="s">
        <v>122</v>
      </c>
      <c r="FJ1" s="6" t="s">
        <v>369</v>
      </c>
      <c r="FK1" s="6" t="s">
        <v>370</v>
      </c>
      <c r="FL1" s="6" t="s">
        <v>371</v>
      </c>
      <c r="FM1" s="6" t="s">
        <v>372</v>
      </c>
      <c r="FN1" s="6" t="s">
        <v>373</v>
      </c>
      <c r="FO1" s="6" t="s">
        <v>374</v>
      </c>
      <c r="FP1" s="6" t="s">
        <v>375</v>
      </c>
      <c r="FQ1" s="6" t="s">
        <v>376</v>
      </c>
      <c r="FR1" s="6" t="s">
        <v>377</v>
      </c>
      <c r="FS1" s="6" t="s">
        <v>378</v>
      </c>
      <c r="FT1" s="6" t="s">
        <v>379</v>
      </c>
      <c r="FU1" s="6" t="s">
        <v>380</v>
      </c>
      <c r="FV1" s="6" t="s">
        <v>381</v>
      </c>
      <c r="FW1" s="6" t="s">
        <v>382</v>
      </c>
      <c r="FX1" s="6" t="s">
        <v>383</v>
      </c>
      <c r="FY1" s="6" t="s">
        <v>384</v>
      </c>
      <c r="FZ1" s="6" t="s">
        <v>385</v>
      </c>
      <c r="GA1" s="6" t="s">
        <v>386</v>
      </c>
      <c r="GB1" s="6" t="s">
        <v>123</v>
      </c>
      <c r="GC1" s="6" t="s">
        <v>387</v>
      </c>
      <c r="GD1" s="6" t="s">
        <v>388</v>
      </c>
      <c r="GE1" s="6" t="s">
        <v>389</v>
      </c>
      <c r="GF1" s="6" t="s">
        <v>390</v>
      </c>
      <c r="GG1" s="6" t="s">
        <v>391</v>
      </c>
      <c r="GH1" s="6" t="s">
        <v>392</v>
      </c>
      <c r="GI1" s="6" t="s">
        <v>393</v>
      </c>
      <c r="GJ1" s="6" t="s">
        <v>394</v>
      </c>
      <c r="GK1" s="6" t="s">
        <v>395</v>
      </c>
      <c r="GL1" s="6" t="s">
        <v>396</v>
      </c>
      <c r="GM1" s="6" t="s">
        <v>397</v>
      </c>
      <c r="GN1" s="6" t="s">
        <v>398</v>
      </c>
      <c r="GO1" s="6" t="s">
        <v>399</v>
      </c>
      <c r="GP1" s="6" t="s">
        <v>400</v>
      </c>
      <c r="GQ1" s="6" t="s">
        <v>401</v>
      </c>
      <c r="GR1" s="6" t="s">
        <v>402</v>
      </c>
      <c r="GS1" s="6" t="s">
        <v>403</v>
      </c>
    </row>
    <row r="2" spans="1:201" x14ac:dyDescent="0.3">
      <c r="A2" s="7" t="s">
        <v>812</v>
      </c>
      <c r="B2" s="8">
        <v>31920.143</v>
      </c>
      <c r="C2" s="8">
        <v>0</v>
      </c>
      <c r="D2" s="8">
        <v>0</v>
      </c>
      <c r="E2" s="8">
        <v>7.4999999999999997E-2</v>
      </c>
      <c r="F2" s="8">
        <v>0</v>
      </c>
      <c r="G2" s="8">
        <v>4.5</v>
      </c>
      <c r="H2" s="8">
        <v>0</v>
      </c>
      <c r="I2" s="8">
        <v>0</v>
      </c>
      <c r="J2" s="8">
        <v>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</row>
    <row r="3" spans="1:201" x14ac:dyDescent="0.3">
      <c r="A3" s="7" t="s">
        <v>814</v>
      </c>
      <c r="B3" s="8">
        <v>239.001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</row>
    <row r="4" spans="1:201" x14ac:dyDescent="0.3">
      <c r="A4" s="7" t="s">
        <v>815</v>
      </c>
      <c r="B4" s="8">
        <v>4520.9799999999996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</row>
    <row r="5" spans="1:201" x14ac:dyDescent="0.3">
      <c r="A5" s="7" t="s">
        <v>816</v>
      </c>
      <c r="B5" s="8">
        <v>22333.19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</row>
    <row r="6" spans="1:201" x14ac:dyDescent="0.3">
      <c r="A6" s="7" t="s">
        <v>817</v>
      </c>
      <c r="B6" s="8">
        <v>4826.3720000000003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</row>
    <row r="7" spans="1:201" x14ac:dyDescent="0.3">
      <c r="A7" s="7" t="s">
        <v>810</v>
      </c>
      <c r="B7" s="8">
        <v>2321314.3280000002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</row>
    <row r="8" spans="1:201" x14ac:dyDescent="0.3">
      <c r="A8" s="7" t="s">
        <v>811</v>
      </c>
      <c r="B8" s="8">
        <v>326906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</row>
    <row r="9" spans="1:201" x14ac:dyDescent="0.3">
      <c r="A9" s="7" t="s">
        <v>813</v>
      </c>
      <c r="B9" s="8">
        <v>9159.5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</row>
    <row r="10" spans="1:201" x14ac:dyDescent="0.3">
      <c r="A10" s="7" t="s">
        <v>818</v>
      </c>
      <c r="B10" s="8">
        <v>73416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</row>
    <row r="11" spans="1:201" x14ac:dyDescent="0.3">
      <c r="A11" s="7" t="s">
        <v>819</v>
      </c>
      <c r="B11" s="8">
        <v>130.679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</row>
    <row r="12" spans="1:201" x14ac:dyDescent="0.3">
      <c r="A12" s="7" t="s">
        <v>820</v>
      </c>
      <c r="B12" s="8">
        <v>130.679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</row>
    <row r="13" spans="1:201" x14ac:dyDescent="0.3">
      <c r="A13" s="7" t="s">
        <v>821</v>
      </c>
      <c r="B13" s="8">
        <v>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</row>
    <row r="14" spans="1:201" x14ac:dyDescent="0.3">
      <c r="A14" s="7" t="s">
        <v>822</v>
      </c>
      <c r="B14" s="8">
        <v>62523.813999999998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</row>
    <row r="15" spans="1:201" x14ac:dyDescent="0.3">
      <c r="A15" s="7" t="s">
        <v>142</v>
      </c>
      <c r="B15" s="8"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</row>
    <row r="16" spans="1:201" x14ac:dyDescent="0.3">
      <c r="A16" s="7" t="s">
        <v>846</v>
      </c>
      <c r="B16" s="8">
        <v>368.20699999999999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</row>
    <row r="17" spans="1:201" x14ac:dyDescent="0.3">
      <c r="A17" s="7" t="s">
        <v>143</v>
      </c>
      <c r="B17" s="8"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</row>
    <row r="18" spans="1:201" x14ac:dyDescent="0.3">
      <c r="A18" s="7" t="s">
        <v>144</v>
      </c>
      <c r="B18" s="8"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</row>
    <row r="19" spans="1:201" x14ac:dyDescent="0.3">
      <c r="A19" s="7" t="s">
        <v>824</v>
      </c>
      <c r="B19" s="8">
        <v>439949.424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</row>
    <row r="20" spans="1:201" x14ac:dyDescent="0.3">
      <c r="A20" s="7" t="s">
        <v>823</v>
      </c>
      <c r="B20" s="8">
        <v>390887.58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</row>
    <row r="21" spans="1:201" x14ac:dyDescent="0.3">
      <c r="A21" s="7" t="s">
        <v>827</v>
      </c>
      <c r="B21" s="8">
        <v>1341771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</row>
    <row r="22" spans="1:201" x14ac:dyDescent="0.3">
      <c r="A22" s="7" t="s">
        <v>825</v>
      </c>
      <c r="B22" s="8">
        <v>152647.49299999999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</row>
    <row r="23" spans="1:201" x14ac:dyDescent="0.3">
      <c r="A23" s="7" t="s">
        <v>826</v>
      </c>
      <c r="B23" s="8">
        <v>28000.183000000001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</row>
    <row r="24" spans="1:201" x14ac:dyDescent="0.3">
      <c r="A24" s="7" t="s">
        <v>828</v>
      </c>
      <c r="B24" s="8">
        <v>2285.4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</row>
    <row r="25" spans="1:201" x14ac:dyDescent="0.3">
      <c r="A25" s="7" t="s">
        <v>148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</row>
    <row r="26" spans="1:201" x14ac:dyDescent="0.3">
      <c r="A26" s="7" t="s">
        <v>149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</row>
    <row r="27" spans="1:201" x14ac:dyDescent="0.3">
      <c r="A27" s="7" t="s">
        <v>150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</row>
    <row r="28" spans="1:201" x14ac:dyDescent="0.3">
      <c r="A28" s="7" t="s">
        <v>151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</row>
    <row r="29" spans="1:201" x14ac:dyDescent="0.3">
      <c r="A29" s="7" t="s">
        <v>836</v>
      </c>
      <c r="B29" s="8">
        <v>9412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</row>
    <row r="30" spans="1:201" x14ac:dyDescent="0.3">
      <c r="A30" s="7" t="s">
        <v>153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</row>
    <row r="31" spans="1:201" x14ac:dyDescent="0.3">
      <c r="A31" s="7" t="s">
        <v>154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</row>
    <row r="32" spans="1:201" x14ac:dyDescent="0.3">
      <c r="A32" s="7" t="s">
        <v>155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</row>
    <row r="33" spans="1:201" x14ac:dyDescent="0.3">
      <c r="A33" s="7" t="s">
        <v>156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</row>
    <row r="34" spans="1:201" x14ac:dyDescent="0.3">
      <c r="A34" s="7" t="s">
        <v>157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</row>
    <row r="35" spans="1:201" x14ac:dyDescent="0.3">
      <c r="A35" s="7" t="s">
        <v>847</v>
      </c>
      <c r="B35" s="8">
        <v>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</row>
    <row r="36" spans="1:201" x14ac:dyDescent="0.3">
      <c r="A36" s="7" t="s">
        <v>833</v>
      </c>
      <c r="B36" s="8">
        <v>255502.2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</row>
    <row r="37" spans="1:201" x14ac:dyDescent="0.3">
      <c r="A37" s="7" t="s">
        <v>159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</row>
    <row r="38" spans="1:201" x14ac:dyDescent="0.3">
      <c r="A38" s="7" t="s">
        <v>160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</row>
    <row r="39" spans="1:201" x14ac:dyDescent="0.3">
      <c r="A39" s="7" t="s">
        <v>161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</row>
    <row r="40" spans="1:201" x14ac:dyDescent="0.3">
      <c r="A40" s="7" t="s">
        <v>162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</row>
    <row r="41" spans="1:201" x14ac:dyDescent="0.3">
      <c r="A41" s="7" t="s">
        <v>835</v>
      </c>
      <c r="B41" s="8">
        <v>327108.52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</row>
    <row r="42" spans="1:201" x14ac:dyDescent="0.3">
      <c r="A42" s="7" t="s">
        <v>842</v>
      </c>
      <c r="B42" s="8">
        <v>166841.54500000001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</row>
    <row r="43" spans="1:201" x14ac:dyDescent="0.3">
      <c r="A43" s="7" t="s">
        <v>165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</row>
    <row r="44" spans="1:201" x14ac:dyDescent="0.3">
      <c r="A44" s="7" t="s">
        <v>166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</row>
    <row r="45" spans="1:201" x14ac:dyDescent="0.3">
      <c r="A45" s="7" t="s">
        <v>167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</row>
    <row r="46" spans="1:201" x14ac:dyDescent="0.3">
      <c r="A46" s="7" t="s">
        <v>834</v>
      </c>
      <c r="B46" s="8">
        <v>603.73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</row>
    <row r="47" spans="1:201" x14ac:dyDescent="0.3">
      <c r="A47" s="7" t="s">
        <v>169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</row>
    <row r="48" spans="1:201" x14ac:dyDescent="0.3">
      <c r="A48" s="7" t="s">
        <v>170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</row>
    <row r="49" spans="1:201" x14ac:dyDescent="0.3">
      <c r="A49" s="7" t="s">
        <v>171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</row>
    <row r="50" spans="1:201" ht="28.8" x14ac:dyDescent="0.3">
      <c r="A50" s="11" t="s">
        <v>832</v>
      </c>
      <c r="B50" s="8">
        <v>2315.7440000000001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</row>
    <row r="51" spans="1:201" x14ac:dyDescent="0.3">
      <c r="A51" s="7" t="s">
        <v>831</v>
      </c>
      <c r="B51" s="8">
        <v>3925.23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</row>
    <row r="52" spans="1:201" x14ac:dyDescent="0.3">
      <c r="A52" s="7" t="s">
        <v>829</v>
      </c>
      <c r="B52" s="8">
        <v>78130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</row>
    <row r="53" spans="1:201" x14ac:dyDescent="0.3">
      <c r="A53" s="7" t="s">
        <v>830</v>
      </c>
      <c r="B53" s="8">
        <v>3756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</row>
    <row r="54" spans="1:201" x14ac:dyDescent="0.3">
      <c r="A54" s="7" t="s">
        <v>176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</row>
    <row r="55" spans="1:201" x14ac:dyDescent="0.3">
      <c r="A55" s="7" t="s">
        <v>177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</row>
    <row r="56" spans="1:201" x14ac:dyDescent="0.3">
      <c r="A56" s="7" t="s">
        <v>178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</row>
    <row r="57" spans="1:201" x14ac:dyDescent="0.3">
      <c r="A57" s="7" t="s">
        <v>179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</row>
    <row r="58" spans="1:201" x14ac:dyDescent="0.3">
      <c r="A58" s="7" t="s">
        <v>180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</row>
    <row r="59" spans="1:201" x14ac:dyDescent="0.3">
      <c r="A59" s="7" t="s">
        <v>181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</row>
    <row r="60" spans="1:201" x14ac:dyDescent="0.3">
      <c r="A60" s="7" t="s">
        <v>182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</row>
    <row r="61" spans="1:201" x14ac:dyDescent="0.3">
      <c r="A61" s="7" t="s">
        <v>183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</row>
    <row r="62" spans="1:201" x14ac:dyDescent="0.3">
      <c r="A62" s="7" t="s">
        <v>184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</row>
    <row r="63" spans="1:201" x14ac:dyDescent="0.3">
      <c r="A63" s="7" t="s">
        <v>185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</row>
    <row r="64" spans="1:201" x14ac:dyDescent="0.3">
      <c r="A64" s="7" t="s">
        <v>186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</row>
    <row r="65" spans="1:201" x14ac:dyDescent="0.3">
      <c r="A65" s="7" t="s">
        <v>187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</row>
    <row r="66" spans="1:201" x14ac:dyDescent="0.3">
      <c r="A66" s="7" t="s">
        <v>188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</row>
    <row r="67" spans="1:201" x14ac:dyDescent="0.3">
      <c r="A67" s="7" t="s">
        <v>189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</row>
    <row r="68" spans="1:201" x14ac:dyDescent="0.3">
      <c r="A68" s="7" t="s">
        <v>190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</row>
    <row r="69" spans="1:201" x14ac:dyDescent="0.3">
      <c r="A69" s="7" t="s">
        <v>191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</row>
    <row r="70" spans="1:201" x14ac:dyDescent="0.3">
      <c r="A70" s="7" t="s">
        <v>192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</row>
    <row r="71" spans="1:201" x14ac:dyDescent="0.3">
      <c r="A71" s="7" t="s">
        <v>193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</row>
    <row r="72" spans="1:201" x14ac:dyDescent="0.3">
      <c r="A72" s="7" t="s">
        <v>851</v>
      </c>
      <c r="B72" s="8">
        <v>61331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</row>
    <row r="73" spans="1:201" x14ac:dyDescent="0.3">
      <c r="A73" s="7" t="s">
        <v>839</v>
      </c>
      <c r="B73" s="8">
        <v>2793.6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</row>
    <row r="74" spans="1:201" x14ac:dyDescent="0.3">
      <c r="A74" s="7" t="s">
        <v>196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</row>
    <row r="75" spans="1:201" x14ac:dyDescent="0.3">
      <c r="A75" s="7" t="s">
        <v>197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</row>
    <row r="76" spans="1:201" x14ac:dyDescent="0.3">
      <c r="A76" s="7" t="s">
        <v>198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</row>
    <row r="77" spans="1:201" x14ac:dyDescent="0.3">
      <c r="A77" s="7" t="s">
        <v>199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</row>
    <row r="78" spans="1:201" x14ac:dyDescent="0.3">
      <c r="A78" s="7" t="s">
        <v>844</v>
      </c>
      <c r="B78" s="8">
        <v>122771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</row>
    <row r="79" spans="1:201" x14ac:dyDescent="0.3">
      <c r="A79" s="7" t="s">
        <v>843</v>
      </c>
      <c r="B79" s="8">
        <v>48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</row>
    <row r="80" spans="1:201" x14ac:dyDescent="0.3">
      <c r="A80" s="7" t="s">
        <v>841</v>
      </c>
      <c r="B80" s="8">
        <v>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</row>
    <row r="81" spans="1:201" x14ac:dyDescent="0.3">
      <c r="A81" s="7" t="s">
        <v>203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</row>
    <row r="82" spans="1:201" x14ac:dyDescent="0.3">
      <c r="A82" s="7" t="s">
        <v>204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</row>
    <row r="83" spans="1:201" x14ac:dyDescent="0.3">
      <c r="A83" s="7" t="s">
        <v>205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</row>
    <row r="84" spans="1:201" x14ac:dyDescent="0.3">
      <c r="A84" s="7" t="s">
        <v>837</v>
      </c>
      <c r="B84" s="8">
        <v>88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</row>
    <row r="85" spans="1:201" x14ac:dyDescent="0.3">
      <c r="A85" s="7" t="s">
        <v>838</v>
      </c>
      <c r="B85" s="8">
        <v>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</row>
    <row r="86" spans="1:201" x14ac:dyDescent="0.3">
      <c r="A86" s="7" t="s">
        <v>840</v>
      </c>
      <c r="B86" s="8">
        <v>8453.68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</row>
    <row r="87" spans="1:201" x14ac:dyDescent="0.3">
      <c r="A87" s="7" t="s">
        <v>845</v>
      </c>
      <c r="B87" s="8">
        <v>182668.44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</row>
    <row r="88" spans="1:201" x14ac:dyDescent="0.3">
      <c r="A88" s="7" t="s">
        <v>208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</row>
    <row r="89" spans="1:201" x14ac:dyDescent="0.3">
      <c r="A89" s="7" t="s">
        <v>209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</row>
    <row r="90" spans="1:201" x14ac:dyDescent="0.3">
      <c r="A90" s="7" t="s">
        <v>849</v>
      </c>
      <c r="B90" s="8">
        <v>234.96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</row>
    <row r="91" spans="1:201" x14ac:dyDescent="0.3">
      <c r="A91" s="7" t="s">
        <v>848</v>
      </c>
      <c r="B91" s="8">
        <v>0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</row>
    <row r="92" spans="1:201" x14ac:dyDescent="0.3">
      <c r="A92" s="7" t="s">
        <v>850</v>
      </c>
      <c r="B92" s="8">
        <v>8502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</row>
    <row r="93" spans="1:201" x14ac:dyDescent="0.3">
      <c r="A93" s="7" t="s">
        <v>852</v>
      </c>
      <c r="B93" s="8">
        <v>30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</row>
    <row r="94" spans="1:201" x14ac:dyDescent="0.3">
      <c r="A94" s="7" t="s">
        <v>213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</row>
    <row r="95" spans="1:201" x14ac:dyDescent="0.3">
      <c r="A95" s="7" t="s">
        <v>214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</row>
    <row r="96" spans="1:201" x14ac:dyDescent="0.3">
      <c r="A96" s="7" t="s">
        <v>853</v>
      </c>
      <c r="B96" s="8" t="s">
        <v>854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4A77-A9A7-429A-A21A-E935FDA6E6E3}">
  <dimension ref="A1:OG83"/>
  <sheetViews>
    <sheetView topLeftCell="R1" workbookViewId="0">
      <selection activeCell="W2" sqref="W2"/>
    </sheetView>
  </sheetViews>
  <sheetFormatPr defaultColWidth="7.77734375" defaultRowHeight="14.4" x14ac:dyDescent="0.3"/>
  <cols>
    <col min="1" max="1" width="19" style="5" bestFit="1" customWidth="1"/>
    <col min="2" max="2" width="6" style="1" bestFit="1" customWidth="1"/>
    <col min="3" max="3" width="36.6640625" style="1" bestFit="1" customWidth="1"/>
    <col min="4" max="4" width="104.88671875" style="1" bestFit="1" customWidth="1"/>
    <col min="5" max="5" width="11.21875" style="1" bestFit="1" customWidth="1"/>
    <col min="6" max="6" width="42.33203125" style="1" bestFit="1" customWidth="1"/>
    <col min="7" max="7" width="27.5546875" style="1" bestFit="1" customWidth="1"/>
    <col min="8" max="8" width="7.77734375" style="1"/>
    <col min="9" max="9" width="38.77734375" style="1" bestFit="1" customWidth="1"/>
    <col min="10" max="10" width="7.33203125" style="1" bestFit="1" customWidth="1"/>
    <col min="11" max="11" width="38.33203125" style="1" bestFit="1" customWidth="1"/>
    <col min="12" max="12" width="8.21875" style="1" bestFit="1" customWidth="1"/>
    <col min="13" max="13" width="39.21875" style="1" bestFit="1" customWidth="1"/>
    <col min="14" max="14" width="7.21875" style="1" bestFit="1" customWidth="1"/>
    <col min="15" max="15" width="38.21875" style="1" bestFit="1" customWidth="1"/>
    <col min="16" max="16" width="18.6640625" style="1" bestFit="1" customWidth="1"/>
    <col min="17" max="17" width="35.77734375" style="1" bestFit="1" customWidth="1"/>
    <col min="18" max="18" width="9.44140625" style="1" bestFit="1" customWidth="1"/>
    <col min="19" max="19" width="40.44140625" style="1" bestFit="1" customWidth="1"/>
    <col min="20" max="20" width="40.44140625" style="1" customWidth="1"/>
    <col min="21" max="21" width="8.44140625" style="1" bestFit="1" customWidth="1"/>
    <col min="22" max="22" width="39.44140625" style="1" bestFit="1" customWidth="1"/>
    <col min="23" max="23" width="9" style="1" bestFit="1" customWidth="1"/>
    <col min="24" max="24" width="40" style="1" bestFit="1" customWidth="1"/>
    <col min="25" max="25" width="7.44140625" style="1" bestFit="1" customWidth="1"/>
    <col min="26" max="26" width="38.44140625" style="1" bestFit="1" customWidth="1"/>
    <col min="27" max="27" width="10.109375" style="1" bestFit="1" customWidth="1"/>
    <col min="28" max="28" width="41.109375" style="1" bestFit="1" customWidth="1"/>
    <col min="29" max="29" width="9.21875" style="1" bestFit="1" customWidth="1"/>
    <col min="30" max="30" width="40.21875" style="1" bestFit="1" customWidth="1"/>
    <col min="31" max="31" width="7.88671875" style="1" bestFit="1" customWidth="1"/>
    <col min="32" max="32" width="38.88671875" style="1" bestFit="1" customWidth="1"/>
    <col min="33" max="33" width="11.21875" style="1" bestFit="1" customWidth="1"/>
    <col min="34" max="34" width="42.33203125" style="1" bestFit="1" customWidth="1"/>
    <col min="35" max="35" width="9.44140625" style="1" bestFit="1" customWidth="1"/>
    <col min="36" max="36" width="40.44140625" style="1" bestFit="1" customWidth="1"/>
    <col min="37" max="37" width="7.88671875" style="1" bestFit="1" customWidth="1"/>
    <col min="38" max="38" width="38.88671875" style="1" bestFit="1" customWidth="1"/>
    <col min="39" max="39" width="8.21875" style="1" bestFit="1" customWidth="1"/>
    <col min="40" max="40" width="39.21875" style="1" bestFit="1" customWidth="1"/>
    <col min="41" max="41" width="6.5546875" style="1" bestFit="1" customWidth="1"/>
    <col min="42" max="42" width="37.44140625" style="1" bestFit="1" customWidth="1"/>
    <col min="43" max="43" width="6.21875" style="1" bestFit="1" customWidth="1"/>
    <col min="44" max="44" width="37.109375" style="1" bestFit="1" customWidth="1"/>
    <col min="45" max="45" width="7.44140625" style="1" bestFit="1" customWidth="1"/>
    <col min="46" max="46" width="38.44140625" style="1" bestFit="1" customWidth="1"/>
    <col min="47" max="47" width="7.109375" style="1" bestFit="1" customWidth="1"/>
    <col min="48" max="48" width="38.109375" style="1" bestFit="1" customWidth="1"/>
    <col min="49" max="49" width="21.109375" style="1" bestFit="1" customWidth="1"/>
    <col min="50" max="50" width="36" style="1" bestFit="1" customWidth="1"/>
    <col min="51" max="51" width="9.6640625" style="1" bestFit="1" customWidth="1"/>
    <col min="52" max="52" width="40.6640625" style="1" bestFit="1" customWidth="1"/>
    <col min="53" max="53" width="6.21875" style="1" bestFit="1" customWidth="1"/>
    <col min="54" max="54" width="37.109375" style="1" bestFit="1" customWidth="1"/>
    <col min="55" max="55" width="6.88671875" style="1" bestFit="1" customWidth="1"/>
    <col min="56" max="56" width="37.77734375" style="1" bestFit="1" customWidth="1"/>
    <col min="57" max="57" width="8.33203125" style="1" bestFit="1" customWidth="1"/>
    <col min="58" max="58" width="39.33203125" style="1" bestFit="1" customWidth="1"/>
    <col min="59" max="59" width="12.109375" style="1" bestFit="1" customWidth="1"/>
    <col min="60" max="60" width="43.21875" style="1" bestFit="1" customWidth="1"/>
    <col min="61" max="61" width="8" style="1" bestFit="1" customWidth="1"/>
    <col min="62" max="62" width="39" style="1" bestFit="1" customWidth="1"/>
    <col min="63" max="63" width="11.109375" style="1" bestFit="1" customWidth="1"/>
    <col min="64" max="64" width="42.21875" style="1" bestFit="1" customWidth="1"/>
    <col min="65" max="65" width="10" style="1" bestFit="1" customWidth="1"/>
    <col min="66" max="66" width="41" style="1" bestFit="1" customWidth="1"/>
    <col min="67" max="67" width="10.109375" style="1" bestFit="1" customWidth="1"/>
    <col min="68" max="68" width="41.109375" style="1" bestFit="1" customWidth="1"/>
    <col min="69" max="69" width="8" style="1" bestFit="1" customWidth="1"/>
    <col min="70" max="70" width="39" style="1" bestFit="1" customWidth="1"/>
    <col min="71" max="71" width="21.6640625" style="1" bestFit="1" customWidth="1"/>
    <col min="72" max="72" width="36" style="1" bestFit="1" customWidth="1"/>
    <col min="73" max="73" width="6" style="1" bestFit="1" customWidth="1"/>
    <col min="74" max="74" width="36.88671875" style="1" bestFit="1" customWidth="1"/>
    <col min="75" max="75" width="5.88671875" style="1" bestFit="1" customWidth="1"/>
    <col min="76" max="76" width="36.77734375" style="1" bestFit="1" customWidth="1"/>
    <col min="77" max="77" width="6.33203125" style="1" bestFit="1" customWidth="1"/>
    <col min="78" max="78" width="37.21875" style="1" bestFit="1" customWidth="1"/>
    <col min="79" max="79" width="9.44140625" style="1" bestFit="1" customWidth="1"/>
    <col min="80" max="80" width="40.44140625" style="1" bestFit="1" customWidth="1"/>
    <col min="81" max="81" width="9" style="1" bestFit="1" customWidth="1"/>
    <col min="82" max="82" width="40" style="1" bestFit="1" customWidth="1"/>
    <col min="83" max="83" width="7.109375" style="1" bestFit="1" customWidth="1"/>
    <col min="84" max="84" width="37.6640625" style="1" bestFit="1" customWidth="1"/>
    <col min="85" max="85" width="10.33203125" style="1" bestFit="1" customWidth="1"/>
    <col min="86" max="86" width="41.33203125" style="1" bestFit="1" customWidth="1"/>
    <col min="87" max="87" width="11.88671875" style="1" bestFit="1" customWidth="1"/>
    <col min="88" max="88" width="41.77734375" style="1" bestFit="1" customWidth="1"/>
    <col min="89" max="89" width="7.6640625" style="1" bestFit="1" customWidth="1"/>
    <col min="90" max="90" width="38.6640625" style="1" bestFit="1" customWidth="1"/>
    <col min="91" max="91" width="5.88671875" style="1" bestFit="1" customWidth="1"/>
    <col min="92" max="92" width="36.77734375" style="1" bestFit="1" customWidth="1"/>
    <col min="93" max="93" width="7.33203125" style="1" bestFit="1" customWidth="1"/>
    <col min="94" max="94" width="38.33203125" style="1" bestFit="1" customWidth="1"/>
    <col min="95" max="95" width="8.109375" style="1" bestFit="1" customWidth="1"/>
    <col min="96" max="96" width="39.109375" style="1" bestFit="1" customWidth="1"/>
    <col min="97" max="97" width="26.44140625" style="1" bestFit="1" customWidth="1"/>
    <col min="98" max="98" width="36.109375" style="1" bestFit="1" customWidth="1"/>
    <col min="99" max="99" width="9.109375" style="1" bestFit="1" customWidth="1"/>
    <col min="100" max="100" width="40.109375" style="1" bestFit="1" customWidth="1"/>
    <col min="101" max="101" width="7.88671875" style="1" bestFit="1" customWidth="1"/>
    <col min="102" max="102" width="38.88671875" style="1" bestFit="1" customWidth="1"/>
    <col min="103" max="103" width="9.33203125" style="1" bestFit="1" customWidth="1"/>
    <col min="104" max="104" width="40.33203125" style="1" bestFit="1" customWidth="1"/>
    <col min="105" max="105" width="18" style="1" bestFit="1" customWidth="1"/>
    <col min="106" max="106" width="49" style="1" bestFit="1" customWidth="1"/>
    <col min="107" max="107" width="8.44140625" style="1" bestFit="1" customWidth="1"/>
    <col min="108" max="108" width="39.44140625" style="1" bestFit="1" customWidth="1"/>
    <col min="109" max="109" width="6.109375" style="1" bestFit="1" customWidth="1"/>
    <col min="110" max="110" width="37" style="1" bestFit="1" customWidth="1"/>
    <col min="111" max="111" width="10.88671875" style="1" bestFit="1" customWidth="1"/>
    <col min="112" max="112" width="41.88671875" style="1" bestFit="1" customWidth="1"/>
    <col min="113" max="113" width="16.21875" style="1" bestFit="1" customWidth="1"/>
    <col min="114" max="114" width="41" style="1" bestFit="1" customWidth="1"/>
    <col min="115" max="115" width="7.109375" style="1" bestFit="1" customWidth="1"/>
    <col min="116" max="116" width="38.109375" style="1" bestFit="1" customWidth="1"/>
    <col min="117" max="117" width="7.6640625" style="1" bestFit="1" customWidth="1"/>
    <col min="118" max="118" width="38.6640625" style="1" bestFit="1" customWidth="1"/>
    <col min="119" max="119" width="8.44140625" style="1" bestFit="1" customWidth="1"/>
    <col min="120" max="120" width="39.44140625" style="1" bestFit="1" customWidth="1"/>
    <col min="121" max="121" width="8.21875" style="1" bestFit="1" customWidth="1"/>
    <col min="122" max="122" width="39.21875" style="1" bestFit="1" customWidth="1"/>
    <col min="123" max="123" width="14.88671875" style="1" bestFit="1" customWidth="1"/>
    <col min="124" max="124" width="4" style="1" bestFit="1" customWidth="1"/>
    <col min="125" max="125" width="34.88671875" style="1" bestFit="1" customWidth="1"/>
    <col min="126" max="126" width="7.77734375" style="1"/>
    <col min="127" max="127" width="38.77734375" style="1" bestFit="1" customWidth="1"/>
    <col min="128" max="128" width="7.33203125" style="1" bestFit="1" customWidth="1"/>
    <col min="129" max="129" width="38.33203125" style="1" bestFit="1" customWidth="1"/>
    <col min="130" max="130" width="6.88671875" style="1" bestFit="1" customWidth="1"/>
    <col min="131" max="131" width="37.77734375" style="1" bestFit="1" customWidth="1"/>
    <col min="132" max="132" width="7.88671875" style="1" bestFit="1" customWidth="1"/>
    <col min="133" max="133" width="38.88671875" style="1" bestFit="1" customWidth="1"/>
    <col min="134" max="134" width="7.88671875" style="1" bestFit="1" customWidth="1"/>
    <col min="135" max="135" width="38.88671875" style="1" bestFit="1" customWidth="1"/>
    <col min="136" max="136" width="9" style="1" bestFit="1" customWidth="1"/>
    <col min="137" max="137" width="40" style="1" bestFit="1" customWidth="1"/>
    <col min="138" max="138" width="6.88671875" style="1" bestFit="1" customWidth="1"/>
    <col min="139" max="139" width="37.77734375" style="1" bestFit="1" customWidth="1"/>
    <col min="140" max="140" width="7.5546875" style="1" bestFit="1" customWidth="1"/>
    <col min="141" max="141" width="38.5546875" style="1" bestFit="1" customWidth="1"/>
    <col min="142" max="142" width="8.6640625" style="1" bestFit="1" customWidth="1"/>
    <col min="143" max="143" width="39.6640625" style="1" bestFit="1" customWidth="1"/>
    <col min="144" max="144" width="10.6640625" style="1" bestFit="1" customWidth="1"/>
    <col min="145" max="145" width="41.6640625" style="1" bestFit="1" customWidth="1"/>
    <col min="146" max="146" width="7.33203125" style="1" bestFit="1" customWidth="1"/>
    <col min="147" max="147" width="38.33203125" style="1" bestFit="1" customWidth="1"/>
    <col min="148" max="148" width="13.44140625" style="1" bestFit="1" customWidth="1"/>
    <col min="149" max="149" width="44.44140625" style="1" bestFit="1" customWidth="1"/>
    <col min="150" max="150" width="7.77734375" style="1"/>
    <col min="151" max="151" width="38.77734375" style="1" bestFit="1" customWidth="1"/>
    <col min="152" max="152" width="8.88671875" style="1" bestFit="1" customWidth="1"/>
    <col min="153" max="153" width="39.88671875" style="1" bestFit="1" customWidth="1"/>
    <col min="154" max="154" width="9.6640625" style="1" bestFit="1" customWidth="1"/>
    <col min="155" max="155" width="40.6640625" style="1" bestFit="1" customWidth="1"/>
    <col min="156" max="156" width="8.44140625" style="1" bestFit="1" customWidth="1"/>
    <col min="157" max="157" width="39.44140625" style="1" bestFit="1" customWidth="1"/>
    <col min="158" max="158" width="7.88671875" style="1" bestFit="1" customWidth="1"/>
    <col min="159" max="159" width="38.88671875" style="1" bestFit="1" customWidth="1"/>
    <col min="160" max="160" width="9.6640625" style="1" bestFit="1" customWidth="1"/>
    <col min="161" max="161" width="40.6640625" style="1" bestFit="1" customWidth="1"/>
    <col min="162" max="162" width="4.88671875" style="1" bestFit="1" customWidth="1"/>
    <col min="163" max="163" width="35.77734375" style="1" bestFit="1" customWidth="1"/>
    <col min="164" max="164" width="5" style="1" bestFit="1" customWidth="1"/>
    <col min="165" max="165" width="35.88671875" style="1" bestFit="1" customWidth="1"/>
    <col min="166" max="166" width="7.5546875" style="1" bestFit="1" customWidth="1"/>
    <col min="167" max="167" width="38.5546875" style="1" bestFit="1" customWidth="1"/>
    <col min="168" max="168" width="6.33203125" style="1" bestFit="1" customWidth="1"/>
    <col min="169" max="169" width="37.21875" style="1" bestFit="1" customWidth="1"/>
    <col min="170" max="170" width="5.33203125" style="1" bestFit="1" customWidth="1"/>
    <col min="171" max="171" width="36.21875" style="1" bestFit="1" customWidth="1"/>
    <col min="172" max="172" width="8.33203125" style="1" bestFit="1" customWidth="1"/>
    <col min="173" max="173" width="39.33203125" style="1" bestFit="1" customWidth="1"/>
    <col min="174" max="174" width="6.33203125" style="1" bestFit="1" customWidth="1"/>
    <col min="175" max="175" width="37.21875" style="1" bestFit="1" customWidth="1"/>
    <col min="176" max="176" width="7.109375" style="1" bestFit="1" customWidth="1"/>
    <col min="177" max="177" width="38.109375" style="1" bestFit="1" customWidth="1"/>
    <col min="178" max="178" width="11.109375" style="1" bestFit="1" customWidth="1"/>
    <col min="179" max="179" width="42.21875" style="1" bestFit="1" customWidth="1"/>
    <col min="180" max="180" width="6.6640625" style="1" bestFit="1" customWidth="1"/>
    <col min="181" max="181" width="37.5546875" style="1" bestFit="1" customWidth="1"/>
    <col min="182" max="182" width="7.44140625" style="1" bestFit="1" customWidth="1"/>
    <col min="183" max="183" width="38.44140625" style="1" bestFit="1" customWidth="1"/>
    <col min="184" max="184" width="7.21875" style="1" bestFit="1" customWidth="1"/>
    <col min="185" max="185" width="38.21875" style="1" bestFit="1" customWidth="1"/>
    <col min="186" max="186" width="10.44140625" style="1" bestFit="1" customWidth="1"/>
    <col min="187" max="187" width="41.44140625" style="1" bestFit="1" customWidth="1"/>
    <col min="188" max="188" width="5.44140625" style="1" bestFit="1" customWidth="1"/>
    <col min="189" max="189" width="36.33203125" style="1" bestFit="1" customWidth="1"/>
    <col min="190" max="190" width="6.5546875" style="1" bestFit="1" customWidth="1"/>
    <col min="191" max="191" width="37.44140625" style="1" bestFit="1" customWidth="1"/>
    <col min="192" max="192" width="8.5546875" style="1" bestFit="1" customWidth="1"/>
    <col min="193" max="193" width="39.5546875" style="1" bestFit="1" customWidth="1"/>
    <col min="194" max="194" width="8.109375" style="1" bestFit="1" customWidth="1"/>
    <col min="195" max="195" width="39.109375" style="1" bestFit="1" customWidth="1"/>
    <col min="196" max="196" width="7.109375" style="1" bestFit="1" customWidth="1"/>
    <col min="197" max="197" width="38.109375" style="1" bestFit="1" customWidth="1"/>
    <col min="198" max="198" width="5.88671875" style="1" bestFit="1" customWidth="1"/>
    <col min="199" max="199" width="36.77734375" style="1" bestFit="1" customWidth="1"/>
    <col min="200" max="200" width="12.6640625" style="1" bestFit="1" customWidth="1"/>
    <col min="201" max="201" width="43.77734375" style="1" bestFit="1" customWidth="1"/>
    <col min="202" max="202" width="9.109375" style="1" bestFit="1" customWidth="1"/>
    <col min="203" max="203" width="40.109375" style="1" bestFit="1" customWidth="1"/>
    <col min="204" max="204" width="10.5546875" style="1" bestFit="1" customWidth="1"/>
    <col min="205" max="205" width="42.6640625" style="1" bestFit="1" customWidth="1"/>
    <col min="206" max="206" width="11.6640625" style="1" bestFit="1" customWidth="1"/>
    <col min="207" max="207" width="42.77734375" style="1" bestFit="1" customWidth="1"/>
    <col min="208" max="208" width="7.44140625" style="1" bestFit="1" customWidth="1"/>
    <col min="209" max="209" width="38.44140625" style="1" bestFit="1" customWidth="1"/>
    <col min="210" max="210" width="8.88671875" style="1" bestFit="1" customWidth="1"/>
    <col min="211" max="211" width="39.88671875" style="1" bestFit="1" customWidth="1"/>
    <col min="212" max="212" width="9" style="1" bestFit="1" customWidth="1"/>
    <col min="213" max="213" width="40" style="1" bestFit="1" customWidth="1"/>
    <col min="214" max="214" width="5.109375" style="1" bestFit="1" customWidth="1"/>
    <col min="215" max="215" width="36" style="1" bestFit="1" customWidth="1"/>
    <col min="216" max="216" width="6.33203125" style="1" bestFit="1" customWidth="1"/>
    <col min="217" max="217" width="37.21875" style="1" bestFit="1" customWidth="1"/>
    <col min="218" max="218" width="15.21875" style="1" bestFit="1" customWidth="1"/>
    <col min="219" max="219" width="46.33203125" style="1" bestFit="1" customWidth="1"/>
    <col min="220" max="220" width="10.33203125" style="1" bestFit="1" customWidth="1"/>
    <col min="221" max="221" width="41.33203125" style="1" bestFit="1" customWidth="1"/>
    <col min="222" max="222" width="9.21875" style="1" bestFit="1" customWidth="1"/>
    <col min="223" max="223" width="40.21875" style="1" bestFit="1" customWidth="1"/>
    <col min="224" max="224" width="7.44140625" style="1" bestFit="1" customWidth="1"/>
    <col min="225" max="225" width="38.44140625" style="1" bestFit="1" customWidth="1"/>
    <col min="226" max="226" width="10.5546875" style="1" bestFit="1" customWidth="1"/>
    <col min="227" max="227" width="41.5546875" style="1" bestFit="1" customWidth="1"/>
    <col min="228" max="228" width="8.6640625" style="1" bestFit="1" customWidth="1"/>
    <col min="229" max="229" width="39.6640625" style="1" bestFit="1" customWidth="1"/>
    <col min="230" max="230" width="8.109375" style="1" bestFit="1" customWidth="1"/>
    <col min="231" max="231" width="39.109375" style="1" bestFit="1" customWidth="1"/>
    <col min="232" max="232" width="9" style="1" bestFit="1" customWidth="1"/>
    <col min="233" max="233" width="40" style="1" bestFit="1" customWidth="1"/>
    <col min="234" max="234" width="11.33203125" style="1" bestFit="1" customWidth="1"/>
    <col min="235" max="235" width="42.44140625" style="1" bestFit="1" customWidth="1"/>
    <col min="236" max="236" width="8.77734375" style="1" bestFit="1" customWidth="1"/>
    <col min="237" max="237" width="39.77734375" style="1" bestFit="1" customWidth="1"/>
    <col min="238" max="238" width="12" style="1" bestFit="1" customWidth="1"/>
    <col min="239" max="239" width="43.109375" style="1" bestFit="1" customWidth="1"/>
    <col min="240" max="240" width="9.21875" style="1" bestFit="1" customWidth="1"/>
    <col min="241" max="241" width="40.21875" style="1" bestFit="1" customWidth="1"/>
    <col min="242" max="242" width="8.44140625" style="1" bestFit="1" customWidth="1"/>
    <col min="243" max="243" width="39.44140625" style="1" bestFit="1" customWidth="1"/>
    <col min="244" max="244" width="6.6640625" style="1" bestFit="1" customWidth="1"/>
    <col min="245" max="245" width="37.5546875" style="1" bestFit="1" customWidth="1"/>
    <col min="246" max="246" width="6.5546875" style="1" bestFit="1" customWidth="1"/>
    <col min="247" max="247" width="37.44140625" style="1" bestFit="1" customWidth="1"/>
    <col min="248" max="248" width="11.88671875" style="1" bestFit="1" customWidth="1"/>
    <col min="249" max="249" width="42" style="1" bestFit="1" customWidth="1"/>
    <col min="250" max="250" width="12.33203125" style="1" bestFit="1" customWidth="1"/>
    <col min="251" max="251" width="43.44140625" style="1" bestFit="1" customWidth="1"/>
    <col min="252" max="252" width="10" style="1" bestFit="1" customWidth="1"/>
    <col min="253" max="253" width="41" style="1" bestFit="1" customWidth="1"/>
    <col min="254" max="254" width="6" style="1" bestFit="1" customWidth="1"/>
    <col min="255" max="255" width="36.88671875" style="1" bestFit="1" customWidth="1"/>
    <col min="256" max="256" width="7.44140625" style="1" bestFit="1" customWidth="1"/>
    <col min="257" max="257" width="38.44140625" style="1" bestFit="1" customWidth="1"/>
    <col min="258" max="258" width="11.44140625" style="1" bestFit="1" customWidth="1"/>
    <col min="259" max="259" width="42.5546875" style="1" bestFit="1" customWidth="1"/>
    <col min="260" max="260" width="15.77734375" style="1" bestFit="1" customWidth="1"/>
    <col min="261" max="261" width="46.88671875" style="1" bestFit="1" customWidth="1"/>
    <col min="262" max="262" width="7.88671875" style="1" bestFit="1" customWidth="1"/>
    <col min="263" max="263" width="38.88671875" style="1" bestFit="1" customWidth="1"/>
    <col min="264" max="264" width="6.5546875" style="1" bestFit="1" customWidth="1"/>
    <col min="265" max="265" width="37.44140625" style="1" bestFit="1" customWidth="1"/>
    <col min="266" max="266" width="8.77734375" style="1" bestFit="1" customWidth="1"/>
    <col min="267" max="267" width="39.77734375" style="1" bestFit="1" customWidth="1"/>
    <col min="268" max="268" width="6.33203125" style="1" bestFit="1" customWidth="1"/>
    <col min="269" max="269" width="37.21875" style="1" bestFit="1" customWidth="1"/>
    <col min="270" max="270" width="14.21875" style="1" bestFit="1" customWidth="1"/>
    <col min="271" max="271" width="40.33203125" style="1" bestFit="1" customWidth="1"/>
    <col min="272" max="272" width="8.33203125" style="1" bestFit="1" customWidth="1"/>
    <col min="273" max="273" width="39.33203125" style="1" bestFit="1" customWidth="1"/>
    <col min="274" max="274" width="16.88671875" style="1" bestFit="1" customWidth="1"/>
    <col min="275" max="275" width="36.21875" style="1" bestFit="1" customWidth="1"/>
    <col min="276" max="276" width="9.21875" style="1" bestFit="1" customWidth="1"/>
    <col min="277" max="277" width="40.21875" style="1" bestFit="1" customWidth="1"/>
    <col min="278" max="278" width="5.44140625" style="1" bestFit="1" customWidth="1"/>
    <col min="279" max="279" width="36.33203125" style="1" bestFit="1" customWidth="1"/>
    <col min="280" max="280" width="10.5546875" style="1" bestFit="1" customWidth="1"/>
    <col min="281" max="281" width="41.5546875" style="1" bestFit="1" customWidth="1"/>
    <col min="282" max="282" width="7.44140625" style="1" bestFit="1" customWidth="1"/>
    <col min="283" max="283" width="38.44140625" style="1" bestFit="1" customWidth="1"/>
    <col min="284" max="284" width="8.5546875" style="1" bestFit="1" customWidth="1"/>
    <col min="285" max="285" width="39.5546875" style="1" bestFit="1" customWidth="1"/>
    <col min="286" max="286" width="6.33203125" style="1" bestFit="1" customWidth="1"/>
    <col min="287" max="287" width="37.21875" style="1" bestFit="1" customWidth="1"/>
    <col min="288" max="288" width="8.77734375" style="1" bestFit="1" customWidth="1"/>
    <col min="289" max="289" width="39.77734375" style="1" bestFit="1" customWidth="1"/>
    <col min="290" max="290" width="7" style="1" bestFit="1" customWidth="1"/>
    <col min="291" max="291" width="37.88671875" style="1" bestFit="1" customWidth="1"/>
    <col min="292" max="292" width="8.21875" style="1" bestFit="1" customWidth="1"/>
    <col min="293" max="293" width="39.21875" style="1" bestFit="1" customWidth="1"/>
    <col min="294" max="294" width="18.5546875" style="1" bestFit="1" customWidth="1"/>
    <col min="295" max="295" width="36.109375" style="1" bestFit="1" customWidth="1"/>
    <col min="296" max="296" width="10.5546875" style="1" bestFit="1" customWidth="1"/>
    <col min="297" max="297" width="39.33203125" style="1" bestFit="1" customWidth="1"/>
    <col min="298" max="298" width="29" style="1" bestFit="1" customWidth="1"/>
    <col min="299" max="299" width="36" style="1" bestFit="1" customWidth="1"/>
    <col min="300" max="300" width="7.33203125" style="1" bestFit="1" customWidth="1"/>
    <col min="301" max="301" width="38.33203125" style="1" bestFit="1" customWidth="1"/>
    <col min="302" max="302" width="10.6640625" style="1" bestFit="1" customWidth="1"/>
    <col min="303" max="303" width="41.6640625" style="1" bestFit="1" customWidth="1"/>
    <col min="304" max="304" width="20.21875" style="1" bestFit="1" customWidth="1"/>
    <col min="305" max="305" width="35.6640625" style="1" bestFit="1" customWidth="1"/>
    <col min="306" max="306" width="11.88671875" style="1" bestFit="1" customWidth="1"/>
    <col min="307" max="307" width="43" style="1" bestFit="1" customWidth="1"/>
    <col min="308" max="308" width="8.21875" style="1" bestFit="1" customWidth="1"/>
    <col min="309" max="309" width="39.21875" style="1" bestFit="1" customWidth="1"/>
    <col min="310" max="310" width="6.88671875" style="1" bestFit="1" customWidth="1"/>
    <col min="311" max="311" width="37.77734375" style="1" bestFit="1" customWidth="1"/>
    <col min="312" max="312" width="10.6640625" style="1" bestFit="1" customWidth="1"/>
    <col min="313" max="313" width="41.6640625" style="1" bestFit="1" customWidth="1"/>
    <col min="314" max="314" width="11.77734375" style="1" bestFit="1" customWidth="1"/>
    <col min="315" max="315" width="42.88671875" style="1" bestFit="1" customWidth="1"/>
    <col min="316" max="316" width="9.77734375" style="1" bestFit="1" customWidth="1"/>
    <col min="317" max="317" width="40.77734375" style="1" bestFit="1" customWidth="1"/>
    <col min="318" max="318" width="8.6640625" style="1" bestFit="1" customWidth="1"/>
    <col min="319" max="319" width="39.6640625" style="1" bestFit="1" customWidth="1"/>
    <col min="320" max="320" width="8.6640625" style="1" bestFit="1" customWidth="1"/>
    <col min="321" max="321" width="39.6640625" style="1" bestFit="1" customWidth="1"/>
    <col min="322" max="322" width="15.33203125" style="1" bestFit="1" customWidth="1"/>
    <col min="323" max="323" width="45.44140625" style="1" bestFit="1" customWidth="1"/>
    <col min="324" max="324" width="8.33203125" style="1" bestFit="1" customWidth="1"/>
    <col min="325" max="325" width="39.33203125" style="1" bestFit="1" customWidth="1"/>
    <col min="326" max="326" width="11.5546875" style="1" bestFit="1" customWidth="1"/>
    <col min="327" max="327" width="42.6640625" style="1" bestFit="1" customWidth="1"/>
    <col min="328" max="328" width="11.5546875" style="1" bestFit="1" customWidth="1"/>
    <col min="329" max="329" width="42.6640625" style="1" bestFit="1" customWidth="1"/>
    <col min="330" max="330" width="12" style="1" bestFit="1" customWidth="1"/>
    <col min="331" max="331" width="43.109375" style="1" bestFit="1" customWidth="1"/>
    <col min="332" max="332" width="6.21875" style="1" bestFit="1" customWidth="1"/>
    <col min="333" max="333" width="37.109375" style="1" bestFit="1" customWidth="1"/>
    <col min="334" max="334" width="9.109375" style="1" bestFit="1" customWidth="1"/>
    <col min="335" max="335" width="40.109375" style="1" bestFit="1" customWidth="1"/>
    <col min="336" max="336" width="6.88671875" style="1" bestFit="1" customWidth="1"/>
    <col min="337" max="337" width="37.77734375" style="1" bestFit="1" customWidth="1"/>
    <col min="338" max="338" width="9.44140625" style="1" bestFit="1" customWidth="1"/>
    <col min="339" max="339" width="40.44140625" style="1" bestFit="1" customWidth="1"/>
    <col min="340" max="340" width="8.21875" style="1" bestFit="1" customWidth="1"/>
    <col min="341" max="341" width="39.21875" style="1" bestFit="1" customWidth="1"/>
    <col min="342" max="342" width="11.33203125" style="1" bestFit="1" customWidth="1"/>
    <col min="343" max="343" width="42.44140625" style="1" bestFit="1" customWidth="1"/>
    <col min="344" max="344" width="5.77734375" style="1" bestFit="1" customWidth="1"/>
    <col min="345" max="345" width="36.6640625" style="1" bestFit="1" customWidth="1"/>
    <col min="346" max="346" width="7.33203125" style="1" bestFit="1" customWidth="1"/>
    <col min="347" max="347" width="38.33203125" style="1" bestFit="1" customWidth="1"/>
    <col min="348" max="348" width="9.44140625" style="1" bestFit="1" customWidth="1"/>
    <col min="349" max="349" width="40.44140625" style="1" bestFit="1" customWidth="1"/>
    <col min="350" max="350" width="8.77734375" style="1" bestFit="1" customWidth="1"/>
    <col min="351" max="351" width="39.77734375" style="1" bestFit="1" customWidth="1"/>
    <col min="352" max="352" width="8.6640625" style="1" bestFit="1" customWidth="1"/>
    <col min="353" max="353" width="39.6640625" style="1" bestFit="1" customWidth="1"/>
    <col min="354" max="354" width="11.33203125" style="1" bestFit="1" customWidth="1"/>
    <col min="355" max="355" width="42" style="1" bestFit="1" customWidth="1"/>
    <col min="356" max="356" width="5.44140625" style="1" bestFit="1" customWidth="1"/>
    <col min="357" max="357" width="36.33203125" style="1" bestFit="1" customWidth="1"/>
    <col min="358" max="358" width="6.44140625" style="1" bestFit="1" customWidth="1"/>
    <col min="359" max="359" width="37.33203125" style="1" bestFit="1" customWidth="1"/>
    <col min="360" max="360" width="18.109375" style="1" bestFit="1" customWidth="1"/>
    <col min="361" max="361" width="35.33203125" style="1" bestFit="1" customWidth="1"/>
    <col min="362" max="362" width="7.33203125" style="1" bestFit="1" customWidth="1"/>
    <col min="363" max="363" width="38.33203125" style="1" bestFit="1" customWidth="1"/>
    <col min="364" max="364" width="7.109375" style="1" bestFit="1" customWidth="1"/>
    <col min="365" max="365" width="38.109375" style="1" bestFit="1" customWidth="1"/>
    <col min="366" max="366" width="12.77734375" style="1" bestFit="1" customWidth="1"/>
    <col min="367" max="367" width="43.88671875" style="1" bestFit="1" customWidth="1"/>
    <col min="368" max="368" width="7" style="1" bestFit="1" customWidth="1"/>
    <col min="369" max="369" width="37.88671875" style="1" bestFit="1" customWidth="1"/>
    <col min="370" max="370" width="7.88671875" style="1" bestFit="1" customWidth="1"/>
    <col min="371" max="371" width="38.88671875" style="1" bestFit="1" customWidth="1"/>
    <col min="372" max="372" width="8" style="1" bestFit="1" customWidth="1"/>
    <col min="373" max="373" width="39" style="1" bestFit="1" customWidth="1"/>
    <col min="374" max="374" width="19" style="1" bestFit="1" customWidth="1"/>
    <col min="375" max="375" width="35.88671875" style="1" bestFit="1" customWidth="1"/>
    <col min="376" max="376" width="14.6640625" style="1" bestFit="1" customWidth="1"/>
    <col min="377" max="377" width="34.88671875" style="1" bestFit="1" customWidth="1"/>
    <col min="378" max="378" width="22.109375" style="1" bestFit="1" customWidth="1"/>
    <col min="379" max="379" width="36" style="1" bestFit="1" customWidth="1"/>
    <col min="380" max="380" width="8.33203125" style="1" bestFit="1" customWidth="1"/>
    <col min="381" max="381" width="39.33203125" style="1" bestFit="1" customWidth="1"/>
    <col min="382" max="382" width="10.6640625" style="1" bestFit="1" customWidth="1"/>
    <col min="383" max="383" width="41.6640625" style="1" bestFit="1" customWidth="1"/>
    <col min="384" max="384" width="8.44140625" style="1" bestFit="1" customWidth="1"/>
    <col min="385" max="385" width="39.44140625" style="1" bestFit="1" customWidth="1"/>
    <col min="386" max="386" width="10.109375" style="1" bestFit="1" customWidth="1"/>
    <col min="387" max="387" width="41.109375" style="1" bestFit="1" customWidth="1"/>
    <col min="388" max="388" width="8.44140625" style="1" bestFit="1" customWidth="1"/>
    <col min="389" max="389" width="39.44140625" style="1" bestFit="1" customWidth="1"/>
    <col min="390" max="390" width="7.21875" style="1" bestFit="1" customWidth="1"/>
    <col min="391" max="391" width="38.21875" style="1" bestFit="1" customWidth="1"/>
    <col min="392" max="392" width="7.6640625" style="1" bestFit="1" customWidth="1"/>
    <col min="393" max="393" width="38.6640625" style="1" bestFit="1" customWidth="1"/>
    <col min="394" max="394" width="10.5546875" style="1" bestFit="1" customWidth="1"/>
    <col min="395" max="395" width="41" style="1" bestFit="1" customWidth="1"/>
    <col min="396" max="396" width="23.77734375" style="1" bestFit="1" customWidth="1"/>
    <col min="397" max="397" width="27.5546875" style="1" bestFit="1" customWidth="1"/>
    <col min="398" max="16384" width="7.77734375" style="1"/>
  </cols>
  <sheetData>
    <row r="1" spans="1:397" s="2" customFormat="1" x14ac:dyDescent="0.3">
      <c r="A1" s="6" t="s">
        <v>406</v>
      </c>
      <c r="B1" s="6" t="s">
        <v>2</v>
      </c>
      <c r="C1" s="6" t="s">
        <v>410</v>
      </c>
      <c r="D1" s="6" t="s">
        <v>800</v>
      </c>
      <c r="E1" s="6" t="s">
        <v>3</v>
      </c>
      <c r="F1" s="6" t="s">
        <v>411</v>
      </c>
      <c r="G1" s="6" t="s">
        <v>803</v>
      </c>
      <c r="H1" s="6" t="s">
        <v>72</v>
      </c>
      <c r="I1" s="6" t="s">
        <v>412</v>
      </c>
      <c r="J1" s="6" t="s">
        <v>107</v>
      </c>
      <c r="K1" s="6" t="s">
        <v>413</v>
      </c>
      <c r="L1" s="6" t="s">
        <v>217</v>
      </c>
      <c r="M1" s="6" t="s">
        <v>414</v>
      </c>
      <c r="N1" s="6" t="s">
        <v>218</v>
      </c>
      <c r="O1" s="6" t="s">
        <v>415</v>
      </c>
      <c r="P1" s="6" t="s">
        <v>219</v>
      </c>
      <c r="Q1" s="6" t="s">
        <v>416</v>
      </c>
      <c r="R1" s="6" t="s">
        <v>220</v>
      </c>
      <c r="S1" s="6" t="s">
        <v>417</v>
      </c>
      <c r="T1" s="6" t="s">
        <v>806</v>
      </c>
      <c r="U1" s="6" t="s">
        <v>221</v>
      </c>
      <c r="V1" s="6" t="s">
        <v>418</v>
      </c>
      <c r="W1" s="6" t="s">
        <v>222</v>
      </c>
      <c r="X1" s="6" t="s">
        <v>419</v>
      </c>
      <c r="Y1" s="6" t="s">
        <v>223</v>
      </c>
      <c r="Z1" s="6" t="s">
        <v>420</v>
      </c>
      <c r="AA1" s="6" t="s">
        <v>224</v>
      </c>
      <c r="AB1" s="6" t="s">
        <v>421</v>
      </c>
      <c r="AC1" s="6" t="s">
        <v>225</v>
      </c>
      <c r="AD1" s="6" t="s">
        <v>422</v>
      </c>
      <c r="AE1" s="6" t="s">
        <v>226</v>
      </c>
      <c r="AF1" s="6" t="s">
        <v>423</v>
      </c>
      <c r="AG1" s="6" t="s">
        <v>227</v>
      </c>
      <c r="AH1" s="6" t="s">
        <v>424</v>
      </c>
      <c r="AI1" s="6" t="s">
        <v>228</v>
      </c>
      <c r="AJ1" s="6" t="s">
        <v>425</v>
      </c>
      <c r="AK1" s="6" t="s">
        <v>229</v>
      </c>
      <c r="AL1" s="6" t="s">
        <v>426</v>
      </c>
      <c r="AM1" s="6" t="s">
        <v>230</v>
      </c>
      <c r="AN1" s="6" t="s">
        <v>427</v>
      </c>
      <c r="AO1" s="6" t="s">
        <v>231</v>
      </c>
      <c r="AP1" s="6" t="s">
        <v>428</v>
      </c>
      <c r="AQ1" s="6" t="s">
        <v>232</v>
      </c>
      <c r="AR1" s="6" t="s">
        <v>429</v>
      </c>
      <c r="AS1" s="6" t="s">
        <v>233</v>
      </c>
      <c r="AT1" s="6" t="s">
        <v>430</v>
      </c>
      <c r="AU1" s="6" t="s">
        <v>234</v>
      </c>
      <c r="AV1" s="6" t="s">
        <v>431</v>
      </c>
      <c r="AW1" s="6" t="s">
        <v>235</v>
      </c>
      <c r="AX1" s="6" t="s">
        <v>432</v>
      </c>
      <c r="AY1" s="6" t="s">
        <v>236</v>
      </c>
      <c r="AZ1" s="6" t="s">
        <v>433</v>
      </c>
      <c r="BA1" s="6" t="s">
        <v>118</v>
      </c>
      <c r="BB1" s="6" t="s">
        <v>434</v>
      </c>
      <c r="BC1" s="6" t="s">
        <v>237</v>
      </c>
      <c r="BD1" s="6" t="s">
        <v>435</v>
      </c>
      <c r="BE1" s="6" t="s">
        <v>238</v>
      </c>
      <c r="BF1" s="6" t="s">
        <v>436</v>
      </c>
      <c r="BG1" s="6" t="s">
        <v>239</v>
      </c>
      <c r="BH1" s="6" t="s">
        <v>437</v>
      </c>
      <c r="BI1" s="6" t="s">
        <v>240</v>
      </c>
      <c r="BJ1" s="6" t="s">
        <v>438</v>
      </c>
      <c r="BK1" s="6" t="s">
        <v>241</v>
      </c>
      <c r="BL1" s="6" t="s">
        <v>439</v>
      </c>
      <c r="BM1" s="6" t="s">
        <v>242</v>
      </c>
      <c r="BN1" s="6" t="s">
        <v>440</v>
      </c>
      <c r="BO1" s="6" t="s">
        <v>243</v>
      </c>
      <c r="BP1" s="6" t="s">
        <v>441</v>
      </c>
      <c r="BQ1" s="6" t="s">
        <v>244</v>
      </c>
      <c r="BR1" s="6" t="s">
        <v>442</v>
      </c>
      <c r="BS1" s="6" t="s">
        <v>245</v>
      </c>
      <c r="BT1" s="6" t="s">
        <v>443</v>
      </c>
      <c r="BU1" s="6" t="s">
        <v>246</v>
      </c>
      <c r="BV1" s="6" t="s">
        <v>444</v>
      </c>
      <c r="BW1" s="6" t="s">
        <v>247</v>
      </c>
      <c r="BX1" s="6" t="s">
        <v>445</v>
      </c>
      <c r="BY1" s="6" t="s">
        <v>132</v>
      </c>
      <c r="BZ1" s="6" t="s">
        <v>446</v>
      </c>
      <c r="CA1" s="6" t="s">
        <v>248</v>
      </c>
      <c r="CB1" s="6" t="s">
        <v>447</v>
      </c>
      <c r="CC1" s="6" t="s">
        <v>249</v>
      </c>
      <c r="CD1" s="6" t="s">
        <v>448</v>
      </c>
      <c r="CE1" s="6" t="s">
        <v>250</v>
      </c>
      <c r="CF1" s="6" t="s">
        <v>449</v>
      </c>
      <c r="CG1" s="6" t="s">
        <v>251</v>
      </c>
      <c r="CH1" s="6" t="s">
        <v>450</v>
      </c>
      <c r="CI1" s="6" t="s">
        <v>252</v>
      </c>
      <c r="CJ1" s="6" t="s">
        <v>451</v>
      </c>
      <c r="CK1" s="6" t="s">
        <v>253</v>
      </c>
      <c r="CL1" s="6" t="s">
        <v>452</v>
      </c>
      <c r="CM1" s="6" t="s">
        <v>254</v>
      </c>
      <c r="CN1" s="6" t="s">
        <v>453</v>
      </c>
      <c r="CO1" s="6" t="s">
        <v>255</v>
      </c>
      <c r="CP1" s="6" t="s">
        <v>454</v>
      </c>
      <c r="CQ1" s="6" t="s">
        <v>256</v>
      </c>
      <c r="CR1" s="6" t="s">
        <v>455</v>
      </c>
      <c r="CS1" s="6" t="s">
        <v>257</v>
      </c>
      <c r="CT1" s="6" t="s">
        <v>456</v>
      </c>
      <c r="CU1" s="6" t="s">
        <v>258</v>
      </c>
      <c r="CV1" s="6" t="s">
        <v>457</v>
      </c>
      <c r="CW1" s="6" t="s">
        <v>259</v>
      </c>
      <c r="CX1" s="6" t="s">
        <v>458</v>
      </c>
      <c r="CY1" s="6" t="s">
        <v>260</v>
      </c>
      <c r="CZ1" s="6" t="s">
        <v>459</v>
      </c>
      <c r="DA1" s="6" t="s">
        <v>261</v>
      </c>
      <c r="DB1" s="6" t="s">
        <v>460</v>
      </c>
      <c r="DC1" s="6" t="s">
        <v>262</v>
      </c>
      <c r="DD1" s="6" t="s">
        <v>461</v>
      </c>
      <c r="DE1" s="6" t="s">
        <v>263</v>
      </c>
      <c r="DF1" s="6" t="s">
        <v>462</v>
      </c>
      <c r="DG1" s="6" t="s">
        <v>264</v>
      </c>
      <c r="DH1" s="6" t="s">
        <v>463</v>
      </c>
      <c r="DI1" s="6" t="s">
        <v>265</v>
      </c>
      <c r="DJ1" s="6" t="s">
        <v>464</v>
      </c>
      <c r="DK1" s="6" t="s">
        <v>266</v>
      </c>
      <c r="DL1" s="6" t="s">
        <v>465</v>
      </c>
      <c r="DM1" s="6" t="s">
        <v>267</v>
      </c>
      <c r="DN1" s="6" t="s">
        <v>466</v>
      </c>
      <c r="DO1" s="6" t="s">
        <v>268</v>
      </c>
      <c r="DP1" s="6" t="s">
        <v>467</v>
      </c>
      <c r="DQ1" s="6" t="s">
        <v>269</v>
      </c>
      <c r="DR1" s="6" t="s">
        <v>468</v>
      </c>
      <c r="DS1" s="6" t="s">
        <v>270</v>
      </c>
      <c r="DT1" s="6" t="s">
        <v>271</v>
      </c>
      <c r="DU1" s="6" t="s">
        <v>469</v>
      </c>
      <c r="DV1" s="6" t="s">
        <v>272</v>
      </c>
      <c r="DW1" s="6" t="s">
        <v>470</v>
      </c>
      <c r="DX1" s="6" t="s">
        <v>273</v>
      </c>
      <c r="DY1" s="6" t="s">
        <v>471</v>
      </c>
      <c r="DZ1" s="6" t="s">
        <v>274</v>
      </c>
      <c r="EA1" s="6" t="s">
        <v>472</v>
      </c>
      <c r="EB1" s="6" t="s">
        <v>275</v>
      </c>
      <c r="EC1" s="6" t="s">
        <v>473</v>
      </c>
      <c r="ED1" s="6" t="s">
        <v>276</v>
      </c>
      <c r="EE1" s="6" t="s">
        <v>474</v>
      </c>
      <c r="EF1" s="6" t="s">
        <v>277</v>
      </c>
      <c r="EG1" s="6" t="s">
        <v>475</v>
      </c>
      <c r="EH1" s="6" t="s">
        <v>278</v>
      </c>
      <c r="EI1" s="6" t="s">
        <v>476</v>
      </c>
      <c r="EJ1" s="6" t="s">
        <v>279</v>
      </c>
      <c r="EK1" s="6" t="s">
        <v>477</v>
      </c>
      <c r="EL1" s="6" t="s">
        <v>280</v>
      </c>
      <c r="EM1" s="6" t="s">
        <v>478</v>
      </c>
      <c r="EN1" s="6" t="s">
        <v>281</v>
      </c>
      <c r="EO1" s="6" t="s">
        <v>479</v>
      </c>
      <c r="EP1" s="6" t="s">
        <v>120</v>
      </c>
      <c r="EQ1" s="6" t="s">
        <v>480</v>
      </c>
      <c r="ER1" s="6" t="s">
        <v>282</v>
      </c>
      <c r="ES1" s="6" t="s">
        <v>481</v>
      </c>
      <c r="ET1" s="6" t="s">
        <v>283</v>
      </c>
      <c r="EU1" s="6" t="s">
        <v>482</v>
      </c>
      <c r="EV1" s="6" t="s">
        <v>285</v>
      </c>
      <c r="EW1" s="6" t="s">
        <v>483</v>
      </c>
      <c r="EX1" s="6" t="s">
        <v>286</v>
      </c>
      <c r="EY1" s="6" t="s">
        <v>484</v>
      </c>
      <c r="EZ1" s="6" t="s">
        <v>287</v>
      </c>
      <c r="FA1" s="6" t="s">
        <v>485</v>
      </c>
      <c r="FB1" s="6" t="s">
        <v>288</v>
      </c>
      <c r="FC1" s="6" t="s">
        <v>486</v>
      </c>
      <c r="FD1" s="6" t="s">
        <v>289</v>
      </c>
      <c r="FE1" s="6" t="s">
        <v>487</v>
      </c>
      <c r="FF1" s="6" t="s">
        <v>290</v>
      </c>
      <c r="FG1" s="6" t="s">
        <v>488</v>
      </c>
      <c r="FH1" s="6" t="s">
        <v>291</v>
      </c>
      <c r="FI1" s="6" t="s">
        <v>489</v>
      </c>
      <c r="FJ1" s="6" t="s">
        <v>292</v>
      </c>
      <c r="FK1" s="6" t="s">
        <v>490</v>
      </c>
      <c r="FL1" s="6" t="s">
        <v>293</v>
      </c>
      <c r="FM1" s="6" t="s">
        <v>491</v>
      </c>
      <c r="FN1" s="6" t="s">
        <v>294</v>
      </c>
      <c r="FO1" s="6" t="s">
        <v>492</v>
      </c>
      <c r="FP1" s="6" t="s">
        <v>295</v>
      </c>
      <c r="FQ1" s="6" t="s">
        <v>493</v>
      </c>
      <c r="FR1" s="6" t="s">
        <v>296</v>
      </c>
      <c r="FS1" s="6" t="s">
        <v>494</v>
      </c>
      <c r="FT1" s="6" t="s">
        <v>298</v>
      </c>
      <c r="FU1" s="6" t="s">
        <v>495</v>
      </c>
      <c r="FV1" s="6" t="s">
        <v>124</v>
      </c>
      <c r="FW1" s="6" t="s">
        <v>496</v>
      </c>
      <c r="FX1" s="6" t="s">
        <v>299</v>
      </c>
      <c r="FY1" s="6" t="s">
        <v>497</v>
      </c>
      <c r="FZ1" s="6" t="s">
        <v>300</v>
      </c>
      <c r="GA1" s="6" t="s">
        <v>498</v>
      </c>
      <c r="GB1" s="6" t="s">
        <v>301</v>
      </c>
      <c r="GC1" s="6" t="s">
        <v>499</v>
      </c>
      <c r="GD1" s="6" t="s">
        <v>302</v>
      </c>
      <c r="GE1" s="6" t="s">
        <v>500</v>
      </c>
      <c r="GF1" s="6" t="s">
        <v>303</v>
      </c>
      <c r="GG1" s="6" t="s">
        <v>501</v>
      </c>
      <c r="GH1" s="6" t="s">
        <v>304</v>
      </c>
      <c r="GI1" s="6" t="s">
        <v>502</v>
      </c>
      <c r="GJ1" s="6" t="s">
        <v>305</v>
      </c>
      <c r="GK1" s="6" t="s">
        <v>503</v>
      </c>
      <c r="GL1" s="6" t="s">
        <v>306</v>
      </c>
      <c r="GM1" s="6" t="s">
        <v>504</v>
      </c>
      <c r="GN1" s="6" t="s">
        <v>307</v>
      </c>
      <c r="GO1" s="6" t="s">
        <v>505</v>
      </c>
      <c r="GP1" s="6" t="s">
        <v>308</v>
      </c>
      <c r="GQ1" s="6" t="s">
        <v>506</v>
      </c>
      <c r="GR1" s="6" t="s">
        <v>309</v>
      </c>
      <c r="GS1" s="6" t="s">
        <v>507</v>
      </c>
      <c r="GT1" s="6" t="s">
        <v>310</v>
      </c>
      <c r="GU1" s="6" t="s">
        <v>508</v>
      </c>
      <c r="GV1" s="6" t="s">
        <v>311</v>
      </c>
      <c r="GW1" s="6" t="s">
        <v>509</v>
      </c>
      <c r="GX1" s="6" t="s">
        <v>312</v>
      </c>
      <c r="GY1" s="6" t="s">
        <v>510</v>
      </c>
      <c r="GZ1" s="6" t="s">
        <v>313</v>
      </c>
      <c r="HA1" s="6" t="s">
        <v>511</v>
      </c>
      <c r="HB1" s="6" t="s">
        <v>314</v>
      </c>
      <c r="HC1" s="6" t="s">
        <v>512</v>
      </c>
      <c r="HD1" s="6" t="s">
        <v>315</v>
      </c>
      <c r="HE1" s="6" t="s">
        <v>513</v>
      </c>
      <c r="HF1" s="6" t="s">
        <v>316</v>
      </c>
      <c r="HG1" s="6" t="s">
        <v>514</v>
      </c>
      <c r="HH1" s="6" t="s">
        <v>317</v>
      </c>
      <c r="HI1" s="6" t="s">
        <v>515</v>
      </c>
      <c r="HJ1" s="6" t="s">
        <v>318</v>
      </c>
      <c r="HK1" s="6" t="s">
        <v>516</v>
      </c>
      <c r="HL1" s="6" t="s">
        <v>319</v>
      </c>
      <c r="HM1" s="6" t="s">
        <v>517</v>
      </c>
      <c r="HN1" s="6" t="s">
        <v>320</v>
      </c>
      <c r="HO1" s="6" t="s">
        <v>518</v>
      </c>
      <c r="HP1" s="6" t="s">
        <v>128</v>
      </c>
      <c r="HQ1" s="6" t="s">
        <v>519</v>
      </c>
      <c r="HR1" s="6" t="s">
        <v>321</v>
      </c>
      <c r="HS1" s="6" t="s">
        <v>520</v>
      </c>
      <c r="HT1" s="6" t="s">
        <v>322</v>
      </c>
      <c r="HU1" s="6" t="s">
        <v>521</v>
      </c>
      <c r="HV1" s="6" t="s">
        <v>323</v>
      </c>
      <c r="HW1" s="6" t="s">
        <v>522</v>
      </c>
      <c r="HX1" s="6" t="s">
        <v>324</v>
      </c>
      <c r="HY1" s="6" t="s">
        <v>523</v>
      </c>
      <c r="HZ1" s="6" t="s">
        <v>325</v>
      </c>
      <c r="IA1" s="6" t="s">
        <v>524</v>
      </c>
      <c r="IB1" s="6" t="s">
        <v>131</v>
      </c>
      <c r="IC1" s="6" t="s">
        <v>525</v>
      </c>
      <c r="ID1" s="6" t="s">
        <v>326</v>
      </c>
      <c r="IE1" s="6" t="s">
        <v>526</v>
      </c>
      <c r="IF1" s="6" t="s">
        <v>327</v>
      </c>
      <c r="IG1" s="6" t="s">
        <v>527</v>
      </c>
      <c r="IH1" s="6" t="s">
        <v>328</v>
      </c>
      <c r="II1" s="6" t="s">
        <v>528</v>
      </c>
      <c r="IJ1" s="6" t="s">
        <v>329</v>
      </c>
      <c r="IK1" s="6" t="s">
        <v>529</v>
      </c>
      <c r="IL1" s="6" t="s">
        <v>330</v>
      </c>
      <c r="IM1" s="6" t="s">
        <v>530</v>
      </c>
      <c r="IN1" s="6" t="s">
        <v>331</v>
      </c>
      <c r="IO1" s="6" t="s">
        <v>531</v>
      </c>
      <c r="IP1" s="6" t="s">
        <v>332</v>
      </c>
      <c r="IQ1" s="6" t="s">
        <v>532</v>
      </c>
      <c r="IR1" s="6" t="s">
        <v>333</v>
      </c>
      <c r="IS1" s="6" t="s">
        <v>533</v>
      </c>
      <c r="IT1" s="6" t="s">
        <v>334</v>
      </c>
      <c r="IU1" s="6" t="s">
        <v>534</v>
      </c>
      <c r="IV1" s="6" t="s">
        <v>335</v>
      </c>
      <c r="IW1" s="6" t="s">
        <v>535</v>
      </c>
      <c r="IX1" s="6" t="s">
        <v>336</v>
      </c>
      <c r="IY1" s="6" t="s">
        <v>536</v>
      </c>
      <c r="IZ1" s="6" t="s">
        <v>337</v>
      </c>
      <c r="JA1" s="6" t="s">
        <v>537</v>
      </c>
      <c r="JB1" s="6" t="s">
        <v>338</v>
      </c>
      <c r="JC1" s="6" t="s">
        <v>538</v>
      </c>
      <c r="JD1" s="6" t="s">
        <v>339</v>
      </c>
      <c r="JE1" s="6" t="s">
        <v>539</v>
      </c>
      <c r="JF1" s="6" t="s">
        <v>340</v>
      </c>
      <c r="JG1" s="6" t="s">
        <v>540</v>
      </c>
      <c r="JH1" s="6" t="s">
        <v>341</v>
      </c>
      <c r="JI1" s="6" t="s">
        <v>541</v>
      </c>
      <c r="JJ1" s="6" t="s">
        <v>342</v>
      </c>
      <c r="JK1" s="6" t="s">
        <v>542</v>
      </c>
      <c r="JL1" s="6" t="s">
        <v>343</v>
      </c>
      <c r="JM1" s="6" t="s">
        <v>543</v>
      </c>
      <c r="JN1" s="6" t="s">
        <v>344</v>
      </c>
      <c r="JO1" s="6" t="s">
        <v>544</v>
      </c>
      <c r="JP1" s="6" t="s">
        <v>345</v>
      </c>
      <c r="JQ1" s="6" t="s">
        <v>545</v>
      </c>
      <c r="JR1" s="6" t="s">
        <v>127</v>
      </c>
      <c r="JS1" s="6" t="s">
        <v>546</v>
      </c>
      <c r="JT1" s="6" t="s">
        <v>346</v>
      </c>
      <c r="JU1" s="6" t="s">
        <v>547</v>
      </c>
      <c r="JV1" s="6" t="s">
        <v>347</v>
      </c>
      <c r="JW1" s="6" t="s">
        <v>548</v>
      </c>
      <c r="JX1" s="6" t="s">
        <v>348</v>
      </c>
      <c r="JY1" s="6" t="s">
        <v>549</v>
      </c>
      <c r="JZ1" s="6" t="s">
        <v>349</v>
      </c>
      <c r="KA1" s="6" t="s">
        <v>550</v>
      </c>
      <c r="KB1" s="6" t="s">
        <v>350</v>
      </c>
      <c r="KC1" s="6" t="s">
        <v>551</v>
      </c>
      <c r="KD1" s="6" t="s">
        <v>351</v>
      </c>
      <c r="KE1" s="6" t="s">
        <v>553</v>
      </c>
      <c r="KF1" s="6" t="s">
        <v>352</v>
      </c>
      <c r="KG1" s="6" t="s">
        <v>552</v>
      </c>
      <c r="KH1" s="6" t="s">
        <v>353</v>
      </c>
      <c r="KI1" s="6" t="s">
        <v>554</v>
      </c>
      <c r="KJ1" s="6" t="s">
        <v>354</v>
      </c>
      <c r="KK1" s="6" t="s">
        <v>555</v>
      </c>
      <c r="KL1" s="6" t="s">
        <v>355</v>
      </c>
      <c r="KM1" s="6" t="s">
        <v>556</v>
      </c>
      <c r="KN1" s="6" t="s">
        <v>356</v>
      </c>
      <c r="KO1" s="6" t="s">
        <v>557</v>
      </c>
      <c r="KP1" s="6" t="s">
        <v>357</v>
      </c>
      <c r="KQ1" s="6" t="s">
        <v>558</v>
      </c>
      <c r="KR1" s="6" t="s">
        <v>358</v>
      </c>
      <c r="KS1" s="6" t="s">
        <v>559</v>
      </c>
      <c r="KT1" s="6" t="s">
        <v>359</v>
      </c>
      <c r="KU1" s="6" t="s">
        <v>560</v>
      </c>
      <c r="KV1" s="6" t="s">
        <v>360</v>
      </c>
      <c r="KW1" s="6" t="s">
        <v>561</v>
      </c>
      <c r="KX1" s="6" t="s">
        <v>361</v>
      </c>
      <c r="KY1" s="6" t="s">
        <v>562</v>
      </c>
      <c r="KZ1" s="6" t="s">
        <v>362</v>
      </c>
      <c r="LA1" s="6" t="s">
        <v>563</v>
      </c>
      <c r="LB1" s="6" t="s">
        <v>363</v>
      </c>
      <c r="LC1" s="6" t="s">
        <v>564</v>
      </c>
      <c r="LD1" s="6" t="s">
        <v>364</v>
      </c>
      <c r="LE1" s="6" t="s">
        <v>565</v>
      </c>
      <c r="LF1" s="6" t="s">
        <v>365</v>
      </c>
      <c r="LG1" s="6" t="s">
        <v>566</v>
      </c>
      <c r="LH1" s="6" t="s">
        <v>366</v>
      </c>
      <c r="LI1" s="6" t="s">
        <v>567</v>
      </c>
      <c r="LJ1" s="6" t="s">
        <v>367</v>
      </c>
      <c r="LK1" s="6" t="s">
        <v>568</v>
      </c>
      <c r="LL1" s="6" t="s">
        <v>368</v>
      </c>
      <c r="LM1" s="6" t="s">
        <v>569</v>
      </c>
      <c r="LN1" s="6" t="s">
        <v>122</v>
      </c>
      <c r="LO1" s="6" t="s">
        <v>570</v>
      </c>
      <c r="LP1" s="6" t="s">
        <v>369</v>
      </c>
      <c r="LQ1" s="6" t="s">
        <v>571</v>
      </c>
      <c r="LR1" s="6" t="s">
        <v>370</v>
      </c>
      <c r="LS1" s="6" t="s">
        <v>572</v>
      </c>
      <c r="LT1" s="6" t="s">
        <v>371</v>
      </c>
      <c r="LU1" s="6" t="s">
        <v>573</v>
      </c>
      <c r="LV1" s="6" t="s">
        <v>372</v>
      </c>
      <c r="LW1" s="6" t="s">
        <v>574</v>
      </c>
      <c r="LX1" s="6" t="s">
        <v>373</v>
      </c>
      <c r="LY1" s="6" t="s">
        <v>575</v>
      </c>
      <c r="LZ1" s="6" t="s">
        <v>374</v>
      </c>
      <c r="MA1" s="6" t="s">
        <v>576</v>
      </c>
      <c r="MB1" s="6" t="s">
        <v>375</v>
      </c>
      <c r="MC1" s="6" t="s">
        <v>577</v>
      </c>
      <c r="MD1" s="6" t="s">
        <v>376</v>
      </c>
      <c r="ME1" s="6" t="s">
        <v>578</v>
      </c>
      <c r="MF1" s="6" t="s">
        <v>377</v>
      </c>
      <c r="MG1" s="10" t="s">
        <v>579</v>
      </c>
      <c r="MH1" s="6" t="s">
        <v>378</v>
      </c>
      <c r="MI1" s="6" t="s">
        <v>580</v>
      </c>
      <c r="MJ1" s="6" t="s">
        <v>379</v>
      </c>
      <c r="MK1" s="6" t="s">
        <v>581</v>
      </c>
      <c r="ML1" s="6" t="s">
        <v>380</v>
      </c>
      <c r="MM1" s="6" t="s">
        <v>582</v>
      </c>
      <c r="MN1" s="6" t="s">
        <v>381</v>
      </c>
      <c r="MO1" s="6" t="s">
        <v>583</v>
      </c>
      <c r="MP1" s="6" t="s">
        <v>382</v>
      </c>
      <c r="MQ1" s="6" t="s">
        <v>584</v>
      </c>
      <c r="MR1" s="6" t="s">
        <v>383</v>
      </c>
      <c r="MS1" s="6" t="s">
        <v>585</v>
      </c>
      <c r="MT1" s="6" t="s">
        <v>384</v>
      </c>
      <c r="MU1" s="6" t="s">
        <v>586</v>
      </c>
      <c r="MV1" s="6" t="s">
        <v>385</v>
      </c>
      <c r="MW1" s="6" t="s">
        <v>587</v>
      </c>
      <c r="MX1" s="6" t="s">
        <v>386</v>
      </c>
      <c r="MY1" s="6" t="s">
        <v>588</v>
      </c>
      <c r="MZ1" s="6" t="s">
        <v>123</v>
      </c>
      <c r="NA1" s="6" t="s">
        <v>589</v>
      </c>
      <c r="NB1" s="6" t="s">
        <v>387</v>
      </c>
      <c r="NC1" s="6" t="s">
        <v>590</v>
      </c>
      <c r="ND1" s="6" t="s">
        <v>388</v>
      </c>
      <c r="NE1" s="6" t="s">
        <v>591</v>
      </c>
      <c r="NF1" s="6" t="s">
        <v>389</v>
      </c>
      <c r="NG1" s="6" t="s">
        <v>592</v>
      </c>
      <c r="NH1" s="6" t="s">
        <v>390</v>
      </c>
      <c r="NI1" s="6" t="s">
        <v>593</v>
      </c>
      <c r="NJ1" s="6" t="s">
        <v>391</v>
      </c>
      <c r="NK1" s="6" t="s">
        <v>594</v>
      </c>
      <c r="NL1" s="6" t="s">
        <v>392</v>
      </c>
      <c r="NM1" s="6" t="s">
        <v>595</v>
      </c>
      <c r="NN1" s="6" t="s">
        <v>393</v>
      </c>
      <c r="NO1" s="6" t="s">
        <v>596</v>
      </c>
      <c r="NP1" s="6" t="s">
        <v>394</v>
      </c>
      <c r="NQ1" s="6" t="s">
        <v>597</v>
      </c>
      <c r="NR1" s="6" t="s">
        <v>395</v>
      </c>
      <c r="NS1" s="6" t="s">
        <v>598</v>
      </c>
      <c r="NT1" s="6" t="s">
        <v>396</v>
      </c>
      <c r="NU1" s="6" t="s">
        <v>599</v>
      </c>
      <c r="NV1" s="6" t="s">
        <v>397</v>
      </c>
      <c r="NW1" s="6" t="s">
        <v>600</v>
      </c>
      <c r="NX1" s="6" t="s">
        <v>398</v>
      </c>
      <c r="NY1" s="6" t="s">
        <v>601</v>
      </c>
      <c r="NZ1" s="6" t="s">
        <v>399</v>
      </c>
      <c r="OA1" s="6" t="s">
        <v>602</v>
      </c>
      <c r="OB1" s="6" t="s">
        <v>400</v>
      </c>
      <c r="OC1" s="6" t="s">
        <v>603</v>
      </c>
      <c r="OD1" s="6" t="s">
        <v>401</v>
      </c>
      <c r="OE1" s="6" t="s">
        <v>604</v>
      </c>
      <c r="OF1" s="6" t="s">
        <v>402</v>
      </c>
      <c r="OG1" s="6" t="s">
        <v>403</v>
      </c>
    </row>
    <row r="2" spans="1:397" ht="43.2" x14ac:dyDescent="0.3">
      <c r="A2" s="7" t="s">
        <v>137</v>
      </c>
      <c r="B2" s="8">
        <v>12.35</v>
      </c>
      <c r="C2" s="9" t="s">
        <v>801</v>
      </c>
      <c r="D2" s="9" t="s">
        <v>802</v>
      </c>
      <c r="E2" s="8">
        <v>0</v>
      </c>
      <c r="F2" s="8" t="s">
        <v>805</v>
      </c>
      <c r="G2" s="8" t="s">
        <v>805</v>
      </c>
      <c r="H2" s="8">
        <v>0</v>
      </c>
      <c r="I2" s="8" t="s">
        <v>805</v>
      </c>
      <c r="J2" s="8">
        <v>0</v>
      </c>
      <c r="K2" s="8" t="s">
        <v>805</v>
      </c>
      <c r="L2" s="8">
        <v>0</v>
      </c>
      <c r="M2" s="8" t="s">
        <v>805</v>
      </c>
      <c r="N2" s="8">
        <v>0</v>
      </c>
      <c r="O2" s="8" t="s">
        <v>805</v>
      </c>
      <c r="P2" s="8">
        <v>0</v>
      </c>
      <c r="Q2" s="8" t="s">
        <v>805</v>
      </c>
      <c r="R2" s="8">
        <f>(4.5+6)/2</f>
        <v>5.25</v>
      </c>
      <c r="S2" s="9" t="s">
        <v>807</v>
      </c>
      <c r="T2" s="9" t="s">
        <v>808</v>
      </c>
      <c r="U2" s="8">
        <v>0</v>
      </c>
      <c r="V2" s="8" t="s">
        <v>805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</row>
    <row r="3" spans="1:397" x14ac:dyDescent="0.3">
      <c r="A3" s="7" t="s">
        <v>138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</row>
    <row r="4" spans="1:397" x14ac:dyDescent="0.3">
      <c r="A4" s="7" t="s">
        <v>139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</row>
    <row r="5" spans="1:397" x14ac:dyDescent="0.3">
      <c r="A5" s="7" t="s">
        <v>140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</row>
    <row r="6" spans="1:397" x14ac:dyDescent="0.3">
      <c r="A6" s="7" t="s">
        <v>141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</row>
    <row r="7" spans="1:397" x14ac:dyDescent="0.3">
      <c r="A7" s="7" t="s">
        <v>142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</row>
    <row r="8" spans="1:397" x14ac:dyDescent="0.3">
      <c r="A8" s="7" t="s">
        <v>143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</row>
    <row r="9" spans="1:397" x14ac:dyDescent="0.3">
      <c r="A9" s="7" t="s">
        <v>144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</row>
    <row r="10" spans="1:397" x14ac:dyDescent="0.3">
      <c r="A10" s="7" t="s">
        <v>145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</row>
    <row r="11" spans="1:397" x14ac:dyDescent="0.3">
      <c r="A11" s="7" t="s">
        <v>125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</row>
    <row r="12" spans="1:397" x14ac:dyDescent="0.3">
      <c r="A12" s="7" t="s">
        <v>129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</row>
    <row r="13" spans="1:397" x14ac:dyDescent="0.3">
      <c r="A13" s="7" t="s">
        <v>146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</row>
    <row r="14" spans="1:397" x14ac:dyDescent="0.3">
      <c r="A14" s="7" t="s">
        <v>147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</row>
    <row r="15" spans="1:397" x14ac:dyDescent="0.3">
      <c r="A15" s="7" t="s">
        <v>148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</row>
    <row r="16" spans="1:397" x14ac:dyDescent="0.3">
      <c r="A16" s="7" t="s">
        <v>149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</row>
    <row r="17" spans="1:397" x14ac:dyDescent="0.3">
      <c r="A17" s="7" t="s">
        <v>150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</row>
    <row r="18" spans="1:397" x14ac:dyDescent="0.3">
      <c r="A18" s="7" t="s">
        <v>151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</row>
    <row r="19" spans="1:397" x14ac:dyDescent="0.3">
      <c r="A19" s="7" t="s">
        <v>152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</row>
    <row r="20" spans="1:397" x14ac:dyDescent="0.3">
      <c r="A20" s="7" t="s">
        <v>153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</row>
    <row r="21" spans="1:397" x14ac:dyDescent="0.3">
      <c r="A21" s="7" t="s">
        <v>154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</row>
    <row r="22" spans="1:397" x14ac:dyDescent="0.3">
      <c r="A22" s="7" t="s">
        <v>155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</row>
    <row r="23" spans="1:397" x14ac:dyDescent="0.3">
      <c r="A23" s="7" t="s">
        <v>156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</row>
    <row r="24" spans="1:397" x14ac:dyDescent="0.3">
      <c r="A24" s="7" t="s">
        <v>157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</row>
    <row r="25" spans="1:397" x14ac:dyDescent="0.3">
      <c r="A25" s="7" t="s">
        <v>158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</row>
    <row r="26" spans="1:397" x14ac:dyDescent="0.3">
      <c r="A26" s="7" t="s">
        <v>133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</row>
    <row r="27" spans="1:397" x14ac:dyDescent="0.3">
      <c r="A27" s="7" t="s">
        <v>159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</row>
    <row r="28" spans="1:397" x14ac:dyDescent="0.3">
      <c r="A28" s="7" t="s">
        <v>160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</row>
    <row r="29" spans="1:397" x14ac:dyDescent="0.3">
      <c r="A29" s="7" t="s">
        <v>161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</row>
    <row r="30" spans="1:397" x14ac:dyDescent="0.3">
      <c r="A30" s="7" t="s">
        <v>162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</row>
    <row r="31" spans="1:397" x14ac:dyDescent="0.3">
      <c r="A31" s="7" t="s">
        <v>163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</row>
    <row r="32" spans="1:397" x14ac:dyDescent="0.3">
      <c r="A32" s="7" t="s">
        <v>164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</row>
    <row r="33" spans="1:397" x14ac:dyDescent="0.3">
      <c r="A33" s="7" t="s">
        <v>165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</row>
    <row r="34" spans="1:397" x14ac:dyDescent="0.3">
      <c r="A34" s="7" t="s">
        <v>166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</row>
    <row r="35" spans="1:397" x14ac:dyDescent="0.3">
      <c r="A35" s="7" t="s">
        <v>167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</row>
    <row r="36" spans="1:397" x14ac:dyDescent="0.3">
      <c r="A36" s="7" t="s">
        <v>168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</row>
    <row r="37" spans="1:397" x14ac:dyDescent="0.3">
      <c r="A37" s="7" t="s">
        <v>169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</row>
    <row r="38" spans="1:397" x14ac:dyDescent="0.3">
      <c r="A38" s="7" t="s">
        <v>170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</row>
    <row r="39" spans="1:397" x14ac:dyDescent="0.3">
      <c r="A39" s="7" t="s">
        <v>171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</row>
    <row r="40" spans="1:397" x14ac:dyDescent="0.3">
      <c r="A40" s="7" t="s">
        <v>172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</row>
    <row r="41" spans="1:397" x14ac:dyDescent="0.3">
      <c r="A41" s="7" t="s">
        <v>173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</row>
    <row r="42" spans="1:397" x14ac:dyDescent="0.3">
      <c r="A42" s="7" t="s">
        <v>174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</row>
    <row r="43" spans="1:397" x14ac:dyDescent="0.3">
      <c r="A43" s="7" t="s">
        <v>175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</row>
    <row r="44" spans="1:397" x14ac:dyDescent="0.3">
      <c r="A44" s="7" t="s">
        <v>176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</row>
    <row r="45" spans="1:397" x14ac:dyDescent="0.3">
      <c r="A45" s="7" t="s">
        <v>177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</row>
    <row r="46" spans="1:397" x14ac:dyDescent="0.3">
      <c r="A46" s="7" t="s">
        <v>178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</row>
    <row r="47" spans="1:397" x14ac:dyDescent="0.3">
      <c r="A47" s="7" t="s">
        <v>179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</row>
    <row r="48" spans="1:397" x14ac:dyDescent="0.3">
      <c r="A48" s="7" t="s">
        <v>180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</row>
    <row r="49" spans="1:397" x14ac:dyDescent="0.3">
      <c r="A49" s="7" t="s">
        <v>181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</row>
    <row r="50" spans="1:397" x14ac:dyDescent="0.3">
      <c r="A50" s="7" t="s">
        <v>182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</row>
    <row r="51" spans="1:397" x14ac:dyDescent="0.3">
      <c r="A51" s="7" t="s">
        <v>183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</row>
    <row r="52" spans="1:397" x14ac:dyDescent="0.3">
      <c r="A52" s="7" t="s">
        <v>184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</row>
    <row r="53" spans="1:397" x14ac:dyDescent="0.3">
      <c r="A53" s="7" t="s">
        <v>185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</row>
    <row r="54" spans="1:397" x14ac:dyDescent="0.3">
      <c r="A54" s="7" t="s">
        <v>186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</row>
    <row r="55" spans="1:397" x14ac:dyDescent="0.3">
      <c r="A55" s="7" t="s">
        <v>187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</row>
    <row r="56" spans="1:397" x14ac:dyDescent="0.3">
      <c r="A56" s="7" t="s">
        <v>188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</row>
    <row r="57" spans="1:397" x14ac:dyDescent="0.3">
      <c r="A57" s="7" t="s">
        <v>189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</row>
    <row r="58" spans="1:397" x14ac:dyDescent="0.3">
      <c r="A58" s="7" t="s">
        <v>190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</row>
    <row r="59" spans="1:397" x14ac:dyDescent="0.3">
      <c r="A59" s="7" t="s">
        <v>191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</row>
    <row r="60" spans="1:397" x14ac:dyDescent="0.3">
      <c r="A60" s="7" t="s">
        <v>192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</row>
    <row r="61" spans="1:397" x14ac:dyDescent="0.3">
      <c r="A61" s="7" t="s">
        <v>193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</row>
    <row r="62" spans="1:397" x14ac:dyDescent="0.3">
      <c r="A62" s="7" t="s">
        <v>194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</row>
    <row r="63" spans="1:397" x14ac:dyDescent="0.3">
      <c r="A63" s="7" t="s">
        <v>195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</row>
    <row r="64" spans="1:397" x14ac:dyDescent="0.3">
      <c r="A64" s="7" t="s">
        <v>196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</row>
    <row r="65" spans="1:397" x14ac:dyDescent="0.3">
      <c r="A65" s="7" t="s">
        <v>197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</row>
    <row r="66" spans="1:397" x14ac:dyDescent="0.3">
      <c r="A66" s="7" t="s">
        <v>198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</row>
    <row r="67" spans="1:397" x14ac:dyDescent="0.3">
      <c r="A67" s="7" t="s">
        <v>199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</row>
    <row r="68" spans="1:397" x14ac:dyDescent="0.3">
      <c r="A68" s="7" t="s">
        <v>200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</row>
    <row r="69" spans="1:397" x14ac:dyDescent="0.3">
      <c r="A69" s="7" t="s">
        <v>201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8"/>
      <c r="MG69" s="8"/>
      <c r="MH69" s="8"/>
      <c r="MI69" s="8"/>
      <c r="MJ69" s="8"/>
      <c r="MK69" s="8"/>
      <c r="ML69" s="8"/>
      <c r="MM69" s="8"/>
      <c r="MN69" s="8"/>
      <c r="MO69" s="8"/>
      <c r="MP69" s="8"/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  <c r="OE69" s="8"/>
      <c r="OF69" s="8"/>
      <c r="OG69" s="8"/>
    </row>
    <row r="70" spans="1:397" x14ac:dyDescent="0.3">
      <c r="A70" s="7" t="s">
        <v>202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8"/>
      <c r="LP70" s="8"/>
      <c r="LQ70" s="8"/>
      <c r="LR70" s="8"/>
      <c r="LS70" s="8"/>
      <c r="LT70" s="8"/>
      <c r="LU70" s="8"/>
      <c r="LV70" s="8"/>
      <c r="LW70" s="8"/>
      <c r="LX70" s="8"/>
      <c r="LY70" s="8"/>
      <c r="LZ70" s="8"/>
      <c r="MA70" s="8"/>
      <c r="MB70" s="8"/>
      <c r="MC70" s="8"/>
      <c r="MD70" s="8"/>
      <c r="ME70" s="8"/>
      <c r="MF70" s="8"/>
      <c r="MG70" s="8"/>
      <c r="MH70" s="8"/>
      <c r="MI70" s="8"/>
      <c r="MJ70" s="8"/>
      <c r="MK70" s="8"/>
      <c r="ML70" s="8"/>
      <c r="MM70" s="8"/>
      <c r="MN70" s="8"/>
      <c r="MO70" s="8"/>
      <c r="MP70" s="8"/>
      <c r="MQ70" s="8"/>
      <c r="MR70" s="8"/>
      <c r="MS70" s="8"/>
      <c r="MT70" s="8"/>
      <c r="MU70" s="8"/>
      <c r="MV70" s="8"/>
      <c r="MW70" s="8"/>
      <c r="MX70" s="8"/>
      <c r="MY70" s="8"/>
      <c r="MZ70" s="8"/>
      <c r="NA70" s="8"/>
      <c r="NB70" s="8"/>
      <c r="NC70" s="8"/>
      <c r="ND70" s="8"/>
      <c r="NE70" s="8"/>
      <c r="NF70" s="8"/>
      <c r="NG70" s="8"/>
      <c r="NH70" s="8"/>
      <c r="NI70" s="8"/>
      <c r="NJ70" s="8"/>
      <c r="NK70" s="8"/>
      <c r="NL70" s="8"/>
      <c r="NM70" s="8"/>
      <c r="NN70" s="8"/>
      <c r="NO70" s="8"/>
      <c r="NP70" s="8"/>
      <c r="NQ70" s="8"/>
      <c r="NR70" s="8"/>
      <c r="NS70" s="8"/>
      <c r="NT70" s="8"/>
      <c r="NU70" s="8"/>
      <c r="NV70" s="8"/>
      <c r="NW70" s="8"/>
      <c r="NX70" s="8"/>
      <c r="NY70" s="8"/>
      <c r="NZ70" s="8"/>
      <c r="OA70" s="8"/>
      <c r="OB70" s="8"/>
      <c r="OC70" s="8"/>
      <c r="OD70" s="8"/>
      <c r="OE70" s="8"/>
      <c r="OF70" s="8"/>
      <c r="OG70" s="8"/>
    </row>
    <row r="71" spans="1:397" x14ac:dyDescent="0.3">
      <c r="A71" s="7" t="s">
        <v>203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8"/>
      <c r="LP71" s="8"/>
      <c r="LQ71" s="8"/>
      <c r="LR71" s="8"/>
      <c r="LS71" s="8"/>
      <c r="LT71" s="8"/>
      <c r="LU71" s="8"/>
      <c r="LV71" s="8"/>
      <c r="LW71" s="8"/>
      <c r="LX71" s="8"/>
      <c r="LY71" s="8"/>
      <c r="LZ71" s="8"/>
      <c r="MA71" s="8"/>
      <c r="MB71" s="8"/>
      <c r="MC71" s="8"/>
      <c r="MD71" s="8"/>
      <c r="ME71" s="8"/>
      <c r="MF71" s="8"/>
      <c r="MG71" s="8"/>
      <c r="MH71" s="8"/>
      <c r="MI71" s="8"/>
      <c r="MJ71" s="8"/>
      <c r="MK71" s="8"/>
      <c r="ML71" s="8"/>
      <c r="MM71" s="8"/>
      <c r="MN71" s="8"/>
      <c r="MO71" s="8"/>
      <c r="MP71" s="8"/>
      <c r="MQ71" s="8"/>
      <c r="MR71" s="8"/>
      <c r="MS71" s="8"/>
      <c r="MT71" s="8"/>
      <c r="MU71" s="8"/>
      <c r="MV71" s="8"/>
      <c r="MW71" s="8"/>
      <c r="MX71" s="8"/>
      <c r="MY71" s="8"/>
      <c r="MZ71" s="8"/>
      <c r="NA71" s="8"/>
      <c r="NB71" s="8"/>
      <c r="NC71" s="8"/>
      <c r="ND71" s="8"/>
      <c r="NE71" s="8"/>
      <c r="NF71" s="8"/>
      <c r="NG71" s="8"/>
      <c r="NH71" s="8"/>
      <c r="NI71" s="8"/>
      <c r="NJ71" s="8"/>
      <c r="NK71" s="8"/>
      <c r="NL71" s="8"/>
      <c r="NM71" s="8"/>
      <c r="NN71" s="8"/>
      <c r="NO71" s="8"/>
      <c r="NP71" s="8"/>
      <c r="NQ71" s="8"/>
      <c r="NR71" s="8"/>
      <c r="NS71" s="8"/>
      <c r="NT71" s="8"/>
      <c r="NU71" s="8"/>
      <c r="NV71" s="8"/>
      <c r="NW71" s="8"/>
      <c r="NX71" s="8"/>
      <c r="NY71" s="8"/>
      <c r="NZ71" s="8"/>
      <c r="OA71" s="8"/>
      <c r="OB71" s="8"/>
      <c r="OC71" s="8"/>
      <c r="OD71" s="8"/>
      <c r="OE71" s="8"/>
      <c r="OF71" s="8"/>
      <c r="OG71" s="8"/>
    </row>
    <row r="72" spans="1:397" x14ac:dyDescent="0.3">
      <c r="A72" s="7" t="s">
        <v>204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8"/>
      <c r="MW72" s="8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</row>
    <row r="73" spans="1:397" x14ac:dyDescent="0.3">
      <c r="A73" s="7" t="s">
        <v>205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MP73" s="8"/>
      <c r="MQ73" s="8"/>
      <c r="MR73" s="8"/>
      <c r="MS73" s="8"/>
      <c r="MT73" s="8"/>
      <c r="MU73" s="8"/>
      <c r="MV73" s="8"/>
      <c r="MW73" s="8"/>
      <c r="MX73" s="8"/>
      <c r="MY73" s="8"/>
      <c r="MZ73" s="8"/>
      <c r="NA73" s="8"/>
      <c r="NB73" s="8"/>
      <c r="NC73" s="8"/>
      <c r="ND73" s="8"/>
      <c r="NE73" s="8"/>
      <c r="NF73" s="8"/>
      <c r="NG73" s="8"/>
      <c r="NH73" s="8"/>
      <c r="NI73" s="8"/>
      <c r="NJ73" s="8"/>
      <c r="NK73" s="8"/>
      <c r="NL73" s="8"/>
      <c r="NM73" s="8"/>
      <c r="NN73" s="8"/>
      <c r="NO73" s="8"/>
      <c r="NP73" s="8"/>
      <c r="NQ73" s="8"/>
      <c r="NR73" s="8"/>
      <c r="NS73" s="8"/>
      <c r="NT73" s="8"/>
      <c r="NU73" s="8"/>
      <c r="NV73" s="8"/>
      <c r="NW73" s="8"/>
      <c r="NX73" s="8"/>
      <c r="NY73" s="8"/>
      <c r="NZ73" s="8"/>
      <c r="OA73" s="8"/>
      <c r="OB73" s="8"/>
      <c r="OC73" s="8"/>
      <c r="OD73" s="8"/>
      <c r="OE73" s="8"/>
      <c r="OF73" s="8"/>
      <c r="OG73" s="8"/>
    </row>
    <row r="74" spans="1:397" x14ac:dyDescent="0.3">
      <c r="A74" s="7" t="s">
        <v>206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</row>
    <row r="75" spans="1:397" x14ac:dyDescent="0.3">
      <c r="A75" s="7" t="s">
        <v>207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</row>
    <row r="76" spans="1:397" x14ac:dyDescent="0.3">
      <c r="A76" s="7" t="s">
        <v>208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</row>
    <row r="77" spans="1:397" x14ac:dyDescent="0.3">
      <c r="A77" s="7" t="s">
        <v>209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</row>
    <row r="78" spans="1:397" x14ac:dyDescent="0.3">
      <c r="A78" s="7" t="s">
        <v>210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</row>
    <row r="79" spans="1:397" x14ac:dyDescent="0.3">
      <c r="A79" s="7" t="s">
        <v>211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</row>
    <row r="80" spans="1:397" x14ac:dyDescent="0.3">
      <c r="A80" s="7" t="s">
        <v>212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8"/>
      <c r="LO80" s="8"/>
      <c r="LP80" s="8"/>
      <c r="LQ80" s="8"/>
      <c r="LR80" s="8"/>
      <c r="LS80" s="8"/>
      <c r="LT80" s="8"/>
      <c r="LU80" s="8"/>
      <c r="LV80" s="8"/>
      <c r="LW80" s="8"/>
      <c r="LX80" s="8"/>
      <c r="LY80" s="8"/>
      <c r="LZ80" s="8"/>
      <c r="MA80" s="8"/>
      <c r="MB80" s="8"/>
      <c r="MC80" s="8"/>
      <c r="MD80" s="8"/>
      <c r="ME80" s="8"/>
      <c r="MF80" s="8"/>
      <c r="MG80" s="8"/>
      <c r="MH80" s="8"/>
      <c r="MI80" s="8"/>
      <c r="MJ80" s="8"/>
      <c r="MK80" s="8"/>
      <c r="ML80" s="8"/>
      <c r="MM80" s="8"/>
      <c r="MN80" s="8"/>
      <c r="MO80" s="8"/>
      <c r="MP80" s="8"/>
      <c r="MQ80" s="8"/>
      <c r="MR80" s="8"/>
      <c r="MS80" s="8"/>
      <c r="MT80" s="8"/>
      <c r="MU80" s="8"/>
      <c r="MV80" s="8"/>
      <c r="MW80" s="8"/>
      <c r="MX80" s="8"/>
      <c r="MY80" s="8"/>
      <c r="MZ80" s="8"/>
      <c r="NA80" s="8"/>
      <c r="NB80" s="8"/>
      <c r="NC80" s="8"/>
      <c r="ND80" s="8"/>
      <c r="NE80" s="8"/>
      <c r="NF80" s="8"/>
      <c r="NG80" s="8"/>
      <c r="NH80" s="8"/>
      <c r="NI80" s="8"/>
      <c r="NJ80" s="8"/>
      <c r="NK80" s="8"/>
      <c r="NL80" s="8"/>
      <c r="NM80" s="8"/>
      <c r="NN80" s="8"/>
      <c r="NO80" s="8"/>
      <c r="NP80" s="8"/>
      <c r="NQ80" s="8"/>
      <c r="NR80" s="8"/>
      <c r="NS80" s="8"/>
      <c r="NT80" s="8"/>
      <c r="NU80" s="8"/>
      <c r="NV80" s="8"/>
      <c r="NW80" s="8"/>
      <c r="NX80" s="8"/>
      <c r="NY80" s="8"/>
      <c r="NZ80" s="8"/>
      <c r="OA80" s="8"/>
      <c r="OB80" s="8"/>
      <c r="OC80" s="8"/>
      <c r="OD80" s="8"/>
      <c r="OE80" s="8"/>
      <c r="OF80" s="8"/>
      <c r="OG80" s="8"/>
    </row>
    <row r="81" spans="1:397" x14ac:dyDescent="0.3">
      <c r="A81" s="7" t="s">
        <v>213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8"/>
      <c r="LK81" s="8"/>
      <c r="LL81" s="8"/>
      <c r="LM81" s="8"/>
      <c r="LN81" s="8"/>
      <c r="LO81" s="8"/>
      <c r="LP81" s="8"/>
      <c r="LQ81" s="8"/>
      <c r="LR81" s="8"/>
      <c r="LS81" s="8"/>
      <c r="LT81" s="8"/>
      <c r="LU81" s="8"/>
      <c r="LV81" s="8"/>
      <c r="LW81" s="8"/>
      <c r="LX81" s="8"/>
      <c r="LY81" s="8"/>
      <c r="LZ81" s="8"/>
      <c r="MA81" s="8"/>
      <c r="MB81" s="8"/>
      <c r="MC81" s="8"/>
      <c r="MD81" s="8"/>
      <c r="ME81" s="8"/>
      <c r="MF81" s="8"/>
      <c r="MG81" s="8"/>
      <c r="MH81" s="8"/>
      <c r="MI81" s="8"/>
      <c r="MJ81" s="8"/>
      <c r="MK81" s="8"/>
      <c r="ML81" s="8"/>
      <c r="MM81" s="8"/>
      <c r="MN81" s="8"/>
      <c r="MO81" s="8"/>
      <c r="MP81" s="8"/>
      <c r="MQ81" s="8"/>
      <c r="MR81" s="8"/>
      <c r="MS81" s="8"/>
      <c r="MT81" s="8"/>
      <c r="MU81" s="8"/>
      <c r="MV81" s="8"/>
      <c r="MW81" s="8"/>
      <c r="MX81" s="8"/>
      <c r="MY81" s="8"/>
      <c r="MZ81" s="8"/>
      <c r="NA81" s="8"/>
      <c r="NB81" s="8"/>
      <c r="NC81" s="8"/>
      <c r="ND81" s="8"/>
      <c r="NE81" s="8"/>
      <c r="NF81" s="8"/>
      <c r="NG81" s="8"/>
      <c r="NH81" s="8"/>
      <c r="NI81" s="8"/>
      <c r="NJ81" s="8"/>
      <c r="NK81" s="8"/>
      <c r="NL81" s="8"/>
      <c r="NM81" s="8"/>
      <c r="NN81" s="8"/>
      <c r="NO81" s="8"/>
      <c r="NP81" s="8"/>
      <c r="NQ81" s="8"/>
      <c r="NR81" s="8"/>
      <c r="NS81" s="8"/>
      <c r="NT81" s="8"/>
      <c r="NU81" s="8"/>
      <c r="NV81" s="8"/>
      <c r="NW81" s="8"/>
      <c r="NX81" s="8"/>
      <c r="NY81" s="8"/>
      <c r="NZ81" s="8"/>
      <c r="OA81" s="8"/>
      <c r="OB81" s="8"/>
      <c r="OC81" s="8"/>
      <c r="OD81" s="8"/>
      <c r="OE81" s="8"/>
      <c r="OF81" s="8"/>
      <c r="OG81" s="8"/>
    </row>
    <row r="82" spans="1:397" x14ac:dyDescent="0.3">
      <c r="A82" s="7" t="s">
        <v>214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  <c r="KW82" s="8"/>
      <c r="KX82" s="8"/>
      <c r="KY82" s="8"/>
      <c r="KZ82" s="8"/>
      <c r="LA82" s="8"/>
      <c r="LB82" s="8"/>
      <c r="LC82" s="8"/>
      <c r="LD82" s="8"/>
      <c r="LE82" s="8"/>
      <c r="LF82" s="8"/>
      <c r="LG82" s="8"/>
      <c r="LH82" s="8"/>
      <c r="LI82" s="8"/>
      <c r="LJ82" s="8"/>
      <c r="LK82" s="8"/>
      <c r="LL82" s="8"/>
      <c r="LM82" s="8"/>
      <c r="LN82" s="8"/>
      <c r="LO82" s="8"/>
      <c r="LP82" s="8"/>
      <c r="LQ82" s="8"/>
      <c r="LR82" s="8"/>
      <c r="LS82" s="8"/>
      <c r="LT82" s="8"/>
      <c r="LU82" s="8"/>
      <c r="LV82" s="8"/>
      <c r="LW82" s="8"/>
      <c r="LX82" s="8"/>
      <c r="LY82" s="8"/>
      <c r="LZ82" s="8"/>
      <c r="MA82" s="8"/>
      <c r="MB82" s="8"/>
      <c r="MC82" s="8"/>
      <c r="MD82" s="8"/>
      <c r="ME82" s="8"/>
      <c r="MF82" s="8"/>
      <c r="MG82" s="8"/>
      <c r="MH82" s="8"/>
      <c r="MI82" s="8"/>
      <c r="MJ82" s="8"/>
      <c r="MK82" s="8"/>
      <c r="ML82" s="8"/>
      <c r="MM82" s="8"/>
      <c r="MN82" s="8"/>
      <c r="MO82" s="8"/>
      <c r="MP82" s="8"/>
      <c r="MQ82" s="8"/>
      <c r="MR82" s="8"/>
      <c r="MS82" s="8"/>
      <c r="MT82" s="8"/>
      <c r="MU82" s="8"/>
      <c r="MV82" s="8"/>
      <c r="MW82" s="8"/>
      <c r="MX82" s="8"/>
      <c r="MY82" s="8"/>
      <c r="MZ82" s="8"/>
      <c r="NA82" s="8"/>
      <c r="NB82" s="8"/>
      <c r="NC82" s="8"/>
      <c r="ND82" s="8"/>
      <c r="NE82" s="8"/>
      <c r="NF82" s="8"/>
      <c r="NG82" s="8"/>
      <c r="NH82" s="8"/>
      <c r="NI82" s="8"/>
      <c r="NJ82" s="8"/>
      <c r="NK82" s="8"/>
      <c r="NL82" s="8"/>
      <c r="NM82" s="8"/>
      <c r="NN82" s="8"/>
      <c r="NO82" s="8"/>
      <c r="NP82" s="8"/>
      <c r="NQ82" s="8"/>
      <c r="NR82" s="8"/>
      <c r="NS82" s="8"/>
      <c r="NT82" s="8"/>
      <c r="NU82" s="8"/>
      <c r="NV82" s="8"/>
      <c r="NW82" s="8"/>
      <c r="NX82" s="8"/>
      <c r="NY82" s="8"/>
      <c r="NZ82" s="8"/>
      <c r="OA82" s="8"/>
      <c r="OB82" s="8"/>
      <c r="OC82" s="8"/>
      <c r="OD82" s="8"/>
      <c r="OE82" s="8"/>
      <c r="OF82" s="8"/>
      <c r="OG82" s="8"/>
    </row>
    <row r="83" spans="1:397" x14ac:dyDescent="0.3">
      <c r="A83" s="7" t="s">
        <v>215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8"/>
      <c r="LO83" s="8"/>
      <c r="LP83" s="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8"/>
      <c r="MF83" s="8"/>
      <c r="MG83" s="8"/>
      <c r="MH83" s="8"/>
      <c r="MI83" s="8"/>
      <c r="MJ83" s="8"/>
      <c r="MK83" s="8"/>
      <c r="ML83" s="8"/>
      <c r="MM83" s="8"/>
      <c r="MN83" s="8"/>
      <c r="MO83" s="8"/>
      <c r="MP83" s="8"/>
      <c r="MQ83" s="8"/>
      <c r="MR83" s="8"/>
      <c r="MS83" s="8"/>
      <c r="MT83" s="8"/>
      <c r="MU83" s="8"/>
      <c r="MV83" s="8"/>
      <c r="MW83" s="8"/>
      <c r="MX83" s="8"/>
      <c r="MY83" s="8"/>
      <c r="MZ83" s="8"/>
      <c r="NA83" s="8"/>
      <c r="NB83" s="8"/>
      <c r="NC83" s="8"/>
      <c r="ND83" s="8"/>
      <c r="NE83" s="8"/>
      <c r="NF83" s="8"/>
      <c r="NG83" s="8"/>
      <c r="NH83" s="8"/>
      <c r="NI83" s="8"/>
      <c r="NJ83" s="8"/>
      <c r="NK83" s="8"/>
      <c r="NL83" s="8"/>
      <c r="NM83" s="8"/>
      <c r="NN83" s="8"/>
      <c r="NO83" s="8"/>
      <c r="NP83" s="8"/>
      <c r="NQ83" s="8"/>
      <c r="NR83" s="8"/>
      <c r="NS83" s="8"/>
      <c r="NT83" s="8"/>
      <c r="NU83" s="8"/>
      <c r="NV83" s="8"/>
      <c r="NW83" s="8"/>
      <c r="NX83" s="8"/>
      <c r="NY83" s="8"/>
      <c r="NZ83" s="8"/>
      <c r="OA83" s="8"/>
      <c r="OB83" s="8"/>
      <c r="OC83" s="8"/>
      <c r="OD83" s="8"/>
      <c r="OE83" s="8"/>
      <c r="OF83" s="8"/>
      <c r="OG83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3DF7-901D-4E92-B664-7576E0FFBC0A}">
  <dimension ref="A1:OD83"/>
  <sheetViews>
    <sheetView topLeftCell="L1" workbookViewId="0">
      <selection activeCell="T2" sqref="T2"/>
    </sheetView>
  </sheetViews>
  <sheetFormatPr defaultRowHeight="14.4" x14ac:dyDescent="0.3"/>
  <cols>
    <col min="1" max="1" width="19" bestFit="1" customWidth="1"/>
    <col min="2" max="2" width="6" bestFit="1" customWidth="1"/>
    <col min="3" max="3" width="36.44140625" bestFit="1" customWidth="1"/>
    <col min="4" max="4" width="11.21875" bestFit="1" customWidth="1"/>
    <col min="5" max="5" width="42" bestFit="1" customWidth="1"/>
    <col min="6" max="6" width="7.77734375" bestFit="1" customWidth="1"/>
    <col min="7" max="7" width="38.5546875" bestFit="1" customWidth="1"/>
    <col min="8" max="8" width="7.33203125" bestFit="1" customWidth="1"/>
    <col min="9" max="9" width="38.109375" bestFit="1" customWidth="1"/>
    <col min="10" max="10" width="8.21875" bestFit="1" customWidth="1"/>
    <col min="11" max="11" width="39" bestFit="1" customWidth="1"/>
    <col min="12" max="12" width="7.21875" bestFit="1" customWidth="1"/>
    <col min="13" max="13" width="37.88671875" bestFit="1" customWidth="1"/>
    <col min="14" max="14" width="18.6640625" bestFit="1" customWidth="1"/>
    <col min="15" max="15" width="35.5546875" bestFit="1" customWidth="1"/>
    <col min="16" max="16" width="9.44140625" bestFit="1" customWidth="1"/>
    <col min="17" max="17" width="40.21875" bestFit="1" customWidth="1"/>
    <col min="18" max="18" width="8.44140625" bestFit="1" customWidth="1"/>
    <col min="19" max="19" width="39.21875" bestFit="1" customWidth="1"/>
    <col min="20" max="20" width="9" bestFit="1" customWidth="1"/>
    <col min="21" max="21" width="39.77734375" bestFit="1" customWidth="1"/>
    <col min="22" max="22" width="7.44140625" bestFit="1" customWidth="1"/>
    <col min="23" max="23" width="38.21875" bestFit="1" customWidth="1"/>
    <col min="24" max="24" width="10.109375" bestFit="1" customWidth="1"/>
    <col min="25" max="25" width="40.88671875" bestFit="1" customWidth="1"/>
    <col min="26" max="26" width="9.21875" bestFit="1" customWidth="1"/>
    <col min="27" max="27" width="40" bestFit="1" customWidth="1"/>
    <col min="28" max="28" width="7.88671875" bestFit="1" customWidth="1"/>
    <col min="29" max="29" width="38.6640625" bestFit="1" customWidth="1"/>
    <col min="30" max="30" width="11.21875" bestFit="1" customWidth="1"/>
    <col min="31" max="31" width="42" bestFit="1" customWidth="1"/>
    <col min="32" max="32" width="9.44140625" bestFit="1" customWidth="1"/>
    <col min="33" max="33" width="40.21875" bestFit="1" customWidth="1"/>
    <col min="34" max="34" width="7.88671875" bestFit="1" customWidth="1"/>
    <col min="35" max="35" width="38.6640625" bestFit="1" customWidth="1"/>
    <col min="36" max="36" width="8.21875" bestFit="1" customWidth="1"/>
    <col min="37" max="37" width="39" bestFit="1" customWidth="1"/>
    <col min="38" max="38" width="6.5546875" bestFit="1" customWidth="1"/>
    <col min="39" max="39" width="37.21875" bestFit="1" customWidth="1"/>
    <col min="40" max="40" width="6.21875" bestFit="1" customWidth="1"/>
    <col min="41" max="41" width="36.88671875" bestFit="1" customWidth="1"/>
    <col min="42" max="42" width="7.44140625" bestFit="1" customWidth="1"/>
    <col min="43" max="43" width="38.21875" bestFit="1" customWidth="1"/>
    <col min="44" max="44" width="7.109375" bestFit="1" customWidth="1"/>
    <col min="45" max="45" width="37.77734375" bestFit="1" customWidth="1"/>
    <col min="46" max="46" width="21.109375" bestFit="1" customWidth="1"/>
    <col min="47" max="47" width="35.77734375" bestFit="1" customWidth="1"/>
    <col min="48" max="48" width="9.6640625" bestFit="1" customWidth="1"/>
    <col min="49" max="49" width="40.44140625" bestFit="1" customWidth="1"/>
    <col min="50" max="50" width="6.21875" bestFit="1" customWidth="1"/>
    <col min="51" max="51" width="36.88671875" bestFit="1" customWidth="1"/>
    <col min="52" max="52" width="6.88671875" bestFit="1" customWidth="1"/>
    <col min="53" max="53" width="37.5546875" bestFit="1" customWidth="1"/>
    <col min="54" max="54" width="8.33203125" bestFit="1" customWidth="1"/>
    <col min="55" max="55" width="39.109375" bestFit="1" customWidth="1"/>
    <col min="56" max="56" width="12.109375" bestFit="1" customWidth="1"/>
    <col min="57" max="57" width="43" bestFit="1" customWidth="1"/>
    <col min="58" max="58" width="8" bestFit="1" customWidth="1"/>
    <col min="59" max="59" width="38.77734375" bestFit="1" customWidth="1"/>
    <col min="60" max="60" width="11.109375" bestFit="1" customWidth="1"/>
    <col min="61" max="61" width="41.88671875" bestFit="1" customWidth="1"/>
    <col min="62" max="62" width="10" bestFit="1" customWidth="1"/>
    <col min="63" max="63" width="40.77734375" bestFit="1" customWidth="1"/>
    <col min="64" max="64" width="10.109375" bestFit="1" customWidth="1"/>
    <col min="65" max="65" width="40.88671875" bestFit="1" customWidth="1"/>
    <col min="66" max="66" width="8" bestFit="1" customWidth="1"/>
    <col min="67" max="67" width="38.77734375" bestFit="1" customWidth="1"/>
    <col min="68" max="68" width="21.6640625" bestFit="1" customWidth="1"/>
    <col min="69" max="69" width="35.77734375" bestFit="1" customWidth="1"/>
    <col min="70" max="70" width="6" bestFit="1" customWidth="1"/>
    <col min="71" max="71" width="36.6640625" bestFit="1" customWidth="1"/>
    <col min="72" max="72" width="5.88671875" bestFit="1" customWidth="1"/>
    <col min="73" max="73" width="36.5546875" bestFit="1" customWidth="1"/>
    <col min="74" max="74" width="6.33203125" bestFit="1" customWidth="1"/>
    <col min="75" max="75" width="37" bestFit="1" customWidth="1"/>
    <col min="76" max="76" width="9.44140625" bestFit="1" customWidth="1"/>
    <col min="77" max="77" width="40.21875" bestFit="1" customWidth="1"/>
    <col min="78" max="78" width="9" bestFit="1" customWidth="1"/>
    <col min="79" max="79" width="39.77734375" bestFit="1" customWidth="1"/>
    <col min="80" max="80" width="7.109375" bestFit="1" customWidth="1"/>
    <col min="81" max="81" width="37.44140625" bestFit="1" customWidth="1"/>
    <col min="82" max="82" width="10.33203125" bestFit="1" customWidth="1"/>
    <col min="83" max="83" width="41.109375" bestFit="1" customWidth="1"/>
    <col min="84" max="84" width="11.88671875" bestFit="1" customWidth="1"/>
    <col min="85" max="85" width="41.5546875" bestFit="1" customWidth="1"/>
    <col min="86" max="86" width="7.6640625" bestFit="1" customWidth="1"/>
    <col min="87" max="87" width="38.44140625" bestFit="1" customWidth="1"/>
    <col min="88" max="88" width="5.88671875" bestFit="1" customWidth="1"/>
    <col min="89" max="89" width="36.5546875" bestFit="1" customWidth="1"/>
    <col min="90" max="90" width="7.33203125" bestFit="1" customWidth="1"/>
    <col min="91" max="91" width="38.109375" bestFit="1" customWidth="1"/>
    <col min="92" max="92" width="8.109375" bestFit="1" customWidth="1"/>
    <col min="93" max="93" width="38.88671875" bestFit="1" customWidth="1"/>
    <col min="94" max="94" width="26.44140625" bestFit="1" customWidth="1"/>
    <col min="95" max="95" width="35.88671875" bestFit="1" customWidth="1"/>
    <col min="96" max="96" width="9.109375" bestFit="1" customWidth="1"/>
    <col min="97" max="97" width="39.88671875" bestFit="1" customWidth="1"/>
    <col min="98" max="98" width="7.88671875" bestFit="1" customWidth="1"/>
    <col min="99" max="99" width="38.6640625" bestFit="1" customWidth="1"/>
    <col min="100" max="100" width="9.33203125" bestFit="1" customWidth="1"/>
    <col min="101" max="101" width="40.109375" bestFit="1" customWidth="1"/>
    <col min="102" max="102" width="18" bestFit="1" customWidth="1"/>
    <col min="103" max="103" width="48.77734375" bestFit="1" customWidth="1"/>
    <col min="104" max="104" width="8.44140625" bestFit="1" customWidth="1"/>
    <col min="105" max="105" width="39.21875" bestFit="1" customWidth="1"/>
    <col min="106" max="106" width="6.109375" bestFit="1" customWidth="1"/>
    <col min="107" max="107" width="36.77734375" bestFit="1" customWidth="1"/>
    <col min="108" max="108" width="10.88671875" bestFit="1" customWidth="1"/>
    <col min="109" max="109" width="41.6640625" bestFit="1" customWidth="1"/>
    <col min="110" max="110" width="16.21875" bestFit="1" customWidth="1"/>
    <col min="111" max="111" width="40.77734375" bestFit="1" customWidth="1"/>
    <col min="112" max="112" width="7.109375" bestFit="1" customWidth="1"/>
    <col min="113" max="113" width="37.77734375" bestFit="1" customWidth="1"/>
    <col min="114" max="114" width="7.6640625" bestFit="1" customWidth="1"/>
    <col min="115" max="115" width="38.44140625" bestFit="1" customWidth="1"/>
    <col min="116" max="116" width="8.44140625" bestFit="1" customWidth="1"/>
    <col min="117" max="117" width="39.21875" bestFit="1" customWidth="1"/>
    <col min="118" max="118" width="8.21875" bestFit="1" customWidth="1"/>
    <col min="119" max="119" width="39" bestFit="1" customWidth="1"/>
    <col min="120" max="120" width="14.88671875" bestFit="1" customWidth="1"/>
    <col min="121" max="121" width="4" bestFit="1" customWidth="1"/>
    <col min="122" max="122" width="34.6640625" bestFit="1" customWidth="1"/>
    <col min="123" max="123" width="7.77734375" bestFit="1" customWidth="1"/>
    <col min="124" max="124" width="38.5546875" bestFit="1" customWidth="1"/>
    <col min="125" max="125" width="7.33203125" bestFit="1" customWidth="1"/>
    <col min="126" max="126" width="38.109375" bestFit="1" customWidth="1"/>
    <col min="127" max="127" width="6.88671875" bestFit="1" customWidth="1"/>
    <col min="128" max="128" width="37.5546875" bestFit="1" customWidth="1"/>
    <col min="129" max="129" width="7.88671875" bestFit="1" customWidth="1"/>
    <col min="130" max="130" width="38.6640625" bestFit="1" customWidth="1"/>
    <col min="131" max="131" width="7.88671875" bestFit="1" customWidth="1"/>
    <col min="132" max="132" width="38.6640625" bestFit="1" customWidth="1"/>
    <col min="133" max="133" width="9" bestFit="1" customWidth="1"/>
    <col min="134" max="134" width="39.77734375" bestFit="1" customWidth="1"/>
    <col min="135" max="135" width="6.88671875" bestFit="1" customWidth="1"/>
    <col min="136" max="136" width="37.5546875" bestFit="1" customWidth="1"/>
    <col min="137" max="137" width="7.5546875" bestFit="1" customWidth="1"/>
    <col min="138" max="138" width="38.33203125" bestFit="1" customWidth="1"/>
    <col min="139" max="139" width="8.6640625" bestFit="1" customWidth="1"/>
    <col min="140" max="140" width="39.44140625" bestFit="1" customWidth="1"/>
    <col min="141" max="141" width="10.6640625" bestFit="1" customWidth="1"/>
    <col min="142" max="142" width="41.44140625" bestFit="1" customWidth="1"/>
    <col min="143" max="143" width="7.33203125" bestFit="1" customWidth="1"/>
    <col min="144" max="144" width="38.109375" bestFit="1" customWidth="1"/>
    <col min="145" max="145" width="13.44140625" bestFit="1" customWidth="1"/>
    <col min="146" max="146" width="44.21875" bestFit="1" customWidth="1"/>
    <col min="147" max="147" width="7.77734375" bestFit="1" customWidth="1"/>
    <col min="148" max="148" width="38.5546875" bestFit="1" customWidth="1"/>
    <col min="150" max="150" width="39.6640625" bestFit="1" customWidth="1"/>
    <col min="151" max="151" width="9.6640625" bestFit="1" customWidth="1"/>
    <col min="152" max="152" width="40.44140625" bestFit="1" customWidth="1"/>
    <col min="153" max="153" width="8.44140625" bestFit="1" customWidth="1"/>
    <col min="154" max="154" width="39.21875" bestFit="1" customWidth="1"/>
    <col min="155" max="155" width="7.88671875" bestFit="1" customWidth="1"/>
    <col min="156" max="156" width="38.6640625" bestFit="1" customWidth="1"/>
    <col min="157" max="157" width="9.6640625" bestFit="1" customWidth="1"/>
    <col min="158" max="158" width="40.44140625" bestFit="1" customWidth="1"/>
    <col min="159" max="159" width="4.88671875" bestFit="1" customWidth="1"/>
    <col min="160" max="160" width="35.5546875" bestFit="1" customWidth="1"/>
    <col min="161" max="161" width="5" bestFit="1" customWidth="1"/>
    <col min="162" max="162" width="35.6640625" bestFit="1" customWidth="1"/>
    <col min="163" max="163" width="7.5546875" bestFit="1" customWidth="1"/>
    <col min="164" max="164" width="38.33203125" bestFit="1" customWidth="1"/>
    <col min="165" max="165" width="6.33203125" bestFit="1" customWidth="1"/>
    <col min="166" max="166" width="37" bestFit="1" customWidth="1"/>
    <col min="167" max="167" width="5.33203125" bestFit="1" customWidth="1"/>
    <col min="168" max="168" width="36" bestFit="1" customWidth="1"/>
    <col min="169" max="169" width="8.33203125" bestFit="1" customWidth="1"/>
    <col min="170" max="170" width="39.109375" bestFit="1" customWidth="1"/>
    <col min="171" max="171" width="6.33203125" bestFit="1" customWidth="1"/>
    <col min="172" max="172" width="37" bestFit="1" customWidth="1"/>
    <col min="173" max="173" width="7.109375" bestFit="1" customWidth="1"/>
    <col min="174" max="174" width="37.77734375" bestFit="1" customWidth="1"/>
    <col min="175" max="175" width="11.109375" bestFit="1" customWidth="1"/>
    <col min="176" max="176" width="41.88671875" bestFit="1" customWidth="1"/>
    <col min="177" max="177" width="6.6640625" bestFit="1" customWidth="1"/>
    <col min="178" max="178" width="37.33203125" bestFit="1" customWidth="1"/>
    <col min="179" max="179" width="7.44140625" bestFit="1" customWidth="1"/>
    <col min="180" max="180" width="38.21875" bestFit="1" customWidth="1"/>
    <col min="181" max="181" width="7.21875" bestFit="1" customWidth="1"/>
    <col min="182" max="182" width="37.88671875" bestFit="1" customWidth="1"/>
    <col min="183" max="183" width="10.44140625" bestFit="1" customWidth="1"/>
    <col min="184" max="184" width="41.21875" bestFit="1" customWidth="1"/>
    <col min="185" max="185" width="5.44140625" bestFit="1" customWidth="1"/>
    <col min="186" max="186" width="36.109375" bestFit="1" customWidth="1"/>
    <col min="187" max="187" width="6.5546875" bestFit="1" customWidth="1"/>
    <col min="188" max="188" width="37.21875" bestFit="1" customWidth="1"/>
    <col min="189" max="189" width="8.5546875" bestFit="1" customWidth="1"/>
    <col min="190" max="190" width="39.33203125" bestFit="1" customWidth="1"/>
    <col min="191" max="191" width="8.109375" bestFit="1" customWidth="1"/>
    <col min="192" max="192" width="38.88671875" bestFit="1" customWidth="1"/>
    <col min="193" max="193" width="7.109375" bestFit="1" customWidth="1"/>
    <col min="194" max="194" width="37.77734375" bestFit="1" customWidth="1"/>
    <col min="195" max="195" width="5.88671875" bestFit="1" customWidth="1"/>
    <col min="196" max="196" width="36.5546875" bestFit="1" customWidth="1"/>
    <col min="197" max="197" width="12.6640625" bestFit="1" customWidth="1"/>
    <col min="198" max="198" width="43.5546875" bestFit="1" customWidth="1"/>
    <col min="199" max="199" width="9.109375" bestFit="1" customWidth="1"/>
    <col min="200" max="200" width="39.88671875" bestFit="1" customWidth="1"/>
    <col min="201" max="201" width="10.5546875" bestFit="1" customWidth="1"/>
    <col min="202" max="202" width="42.44140625" bestFit="1" customWidth="1"/>
    <col min="203" max="203" width="11.6640625" bestFit="1" customWidth="1"/>
    <col min="204" max="204" width="42.5546875" bestFit="1" customWidth="1"/>
    <col min="205" max="205" width="7.44140625" bestFit="1" customWidth="1"/>
    <col min="206" max="206" width="38.21875" bestFit="1" customWidth="1"/>
    <col min="208" max="208" width="39.6640625" bestFit="1" customWidth="1"/>
    <col min="209" max="209" width="9" bestFit="1" customWidth="1"/>
    <col min="210" max="210" width="39.77734375" bestFit="1" customWidth="1"/>
    <col min="211" max="211" width="5.109375" bestFit="1" customWidth="1"/>
    <col min="212" max="212" width="35.77734375" bestFit="1" customWidth="1"/>
    <col min="213" max="213" width="6.33203125" bestFit="1" customWidth="1"/>
    <col min="214" max="214" width="37" bestFit="1" customWidth="1"/>
    <col min="215" max="215" width="15.21875" bestFit="1" customWidth="1"/>
    <col min="216" max="216" width="46" bestFit="1" customWidth="1"/>
    <col min="217" max="217" width="10.33203125" bestFit="1" customWidth="1"/>
    <col min="218" max="218" width="41.109375" bestFit="1" customWidth="1"/>
    <col min="219" max="219" width="9.21875" bestFit="1" customWidth="1"/>
    <col min="220" max="220" width="40" bestFit="1" customWidth="1"/>
    <col min="221" max="221" width="7.44140625" bestFit="1" customWidth="1"/>
    <col min="222" max="222" width="38.21875" bestFit="1" customWidth="1"/>
    <col min="223" max="223" width="10.5546875" bestFit="1" customWidth="1"/>
    <col min="224" max="224" width="41.33203125" bestFit="1" customWidth="1"/>
    <col min="225" max="225" width="8.6640625" bestFit="1" customWidth="1"/>
    <col min="226" max="226" width="39.44140625" bestFit="1" customWidth="1"/>
    <col min="227" max="227" width="8.109375" bestFit="1" customWidth="1"/>
    <col min="228" max="228" width="38.88671875" bestFit="1" customWidth="1"/>
    <col min="229" max="229" width="9" bestFit="1" customWidth="1"/>
    <col min="230" max="230" width="39.77734375" bestFit="1" customWidth="1"/>
    <col min="231" max="231" width="11.33203125" bestFit="1" customWidth="1"/>
    <col min="232" max="232" width="42.21875" bestFit="1" customWidth="1"/>
    <col min="233" max="233" width="8.77734375" bestFit="1" customWidth="1"/>
    <col min="234" max="234" width="39.5546875" bestFit="1" customWidth="1"/>
    <col min="235" max="235" width="12" bestFit="1" customWidth="1"/>
    <col min="236" max="236" width="42.88671875" bestFit="1" customWidth="1"/>
    <col min="237" max="237" width="9.21875" bestFit="1" customWidth="1"/>
    <col min="238" max="238" width="40" bestFit="1" customWidth="1"/>
    <col min="239" max="239" width="8.44140625" bestFit="1" customWidth="1"/>
    <col min="240" max="240" width="39.21875" bestFit="1" customWidth="1"/>
    <col min="241" max="241" width="6.6640625" bestFit="1" customWidth="1"/>
    <col min="242" max="242" width="37.33203125" bestFit="1" customWidth="1"/>
    <col min="243" max="243" width="6.5546875" bestFit="1" customWidth="1"/>
    <col min="244" max="244" width="37.21875" bestFit="1" customWidth="1"/>
    <col min="245" max="245" width="11.88671875" bestFit="1" customWidth="1"/>
    <col min="246" max="246" width="41.77734375" bestFit="1" customWidth="1"/>
    <col min="247" max="247" width="12.33203125" bestFit="1" customWidth="1"/>
    <col min="248" max="248" width="43.21875" bestFit="1" customWidth="1"/>
    <col min="249" max="249" width="10" bestFit="1" customWidth="1"/>
    <col min="250" max="250" width="40.77734375" bestFit="1" customWidth="1"/>
    <col min="251" max="251" width="6" bestFit="1" customWidth="1"/>
    <col min="252" max="252" width="36.6640625" bestFit="1" customWidth="1"/>
    <col min="253" max="253" width="7.44140625" bestFit="1" customWidth="1"/>
    <col min="254" max="254" width="38.21875" bestFit="1" customWidth="1"/>
    <col min="255" max="255" width="11.44140625" bestFit="1" customWidth="1"/>
    <col min="256" max="256" width="42.33203125" bestFit="1" customWidth="1"/>
    <col min="257" max="257" width="15.77734375" bestFit="1" customWidth="1"/>
    <col min="258" max="258" width="46.6640625" bestFit="1" customWidth="1"/>
    <col min="259" max="259" width="7.88671875" bestFit="1" customWidth="1"/>
    <col min="260" max="260" width="38.6640625" bestFit="1" customWidth="1"/>
    <col min="261" max="261" width="6.5546875" bestFit="1" customWidth="1"/>
    <col min="262" max="262" width="37.21875" bestFit="1" customWidth="1"/>
    <col min="263" max="263" width="8.77734375" bestFit="1" customWidth="1"/>
    <col min="264" max="264" width="39.5546875" bestFit="1" customWidth="1"/>
    <col min="265" max="265" width="6.33203125" bestFit="1" customWidth="1"/>
    <col min="266" max="266" width="37" bestFit="1" customWidth="1"/>
    <col min="267" max="267" width="14.21875" bestFit="1" customWidth="1"/>
    <col min="268" max="268" width="40.109375" bestFit="1" customWidth="1"/>
    <col min="269" max="269" width="8.33203125" bestFit="1" customWidth="1"/>
    <col min="270" max="270" width="39.109375" bestFit="1" customWidth="1"/>
    <col min="271" max="271" width="16.88671875" bestFit="1" customWidth="1"/>
    <col min="272" max="272" width="36" bestFit="1" customWidth="1"/>
    <col min="273" max="273" width="9.21875" bestFit="1" customWidth="1"/>
    <col min="274" max="274" width="40" bestFit="1" customWidth="1"/>
    <col min="275" max="275" width="5.44140625" bestFit="1" customWidth="1"/>
    <col min="276" max="276" width="36.109375" bestFit="1" customWidth="1"/>
    <col min="277" max="277" width="10.5546875" bestFit="1" customWidth="1"/>
    <col min="278" max="278" width="41.33203125" bestFit="1" customWidth="1"/>
    <col min="279" max="279" width="7.44140625" bestFit="1" customWidth="1"/>
    <col min="280" max="280" width="38.21875" bestFit="1" customWidth="1"/>
    <col min="281" max="281" width="8.5546875" bestFit="1" customWidth="1"/>
    <col min="282" max="282" width="39.33203125" bestFit="1" customWidth="1"/>
    <col min="283" max="283" width="6.33203125" bestFit="1" customWidth="1"/>
    <col min="284" max="284" width="37" bestFit="1" customWidth="1"/>
    <col min="285" max="285" width="8.77734375" bestFit="1" customWidth="1"/>
    <col min="286" max="286" width="39.5546875" bestFit="1" customWidth="1"/>
    <col min="287" max="287" width="7" bestFit="1" customWidth="1"/>
    <col min="288" max="288" width="37.6640625" bestFit="1" customWidth="1"/>
    <col min="289" max="289" width="8.21875" bestFit="1" customWidth="1"/>
    <col min="290" max="290" width="39" bestFit="1" customWidth="1"/>
    <col min="291" max="291" width="18.5546875" bestFit="1" customWidth="1"/>
    <col min="292" max="292" width="35.88671875" bestFit="1" customWidth="1"/>
    <col min="293" max="293" width="10.5546875" bestFit="1" customWidth="1"/>
    <col min="294" max="294" width="39.109375" bestFit="1" customWidth="1"/>
    <col min="295" max="295" width="29" bestFit="1" customWidth="1"/>
    <col min="296" max="296" width="35.77734375" bestFit="1" customWidth="1"/>
    <col min="297" max="297" width="7.33203125" bestFit="1" customWidth="1"/>
    <col min="298" max="298" width="38.109375" bestFit="1" customWidth="1"/>
    <col min="299" max="299" width="10.6640625" bestFit="1" customWidth="1"/>
    <col min="300" max="300" width="41.44140625" bestFit="1" customWidth="1"/>
    <col min="301" max="301" width="20.21875" bestFit="1" customWidth="1"/>
    <col min="302" max="302" width="35.44140625" bestFit="1" customWidth="1"/>
    <col min="303" max="303" width="11.88671875" bestFit="1" customWidth="1"/>
    <col min="304" max="304" width="42.77734375" bestFit="1" customWidth="1"/>
    <col min="305" max="305" width="8.21875" bestFit="1" customWidth="1"/>
    <col min="306" max="306" width="39" bestFit="1" customWidth="1"/>
    <col min="307" max="307" width="6.88671875" bestFit="1" customWidth="1"/>
    <col min="308" max="308" width="37.5546875" bestFit="1" customWidth="1"/>
    <col min="309" max="309" width="10.6640625" bestFit="1" customWidth="1"/>
    <col min="310" max="310" width="41.44140625" bestFit="1" customWidth="1"/>
    <col min="311" max="311" width="11.77734375" bestFit="1" customWidth="1"/>
    <col min="312" max="312" width="42.6640625" bestFit="1" customWidth="1"/>
    <col min="313" max="313" width="9.77734375" bestFit="1" customWidth="1"/>
    <col min="314" max="314" width="40.5546875" bestFit="1" customWidth="1"/>
    <col min="315" max="315" width="8.6640625" bestFit="1" customWidth="1"/>
    <col min="316" max="316" width="39.44140625" bestFit="1" customWidth="1"/>
    <col min="317" max="317" width="8.6640625" bestFit="1" customWidth="1"/>
    <col min="318" max="318" width="39.44140625" bestFit="1" customWidth="1"/>
    <col min="319" max="319" width="15.33203125" bestFit="1" customWidth="1"/>
    <col min="320" max="320" width="45.21875" bestFit="1" customWidth="1"/>
    <col min="321" max="321" width="8.33203125" bestFit="1" customWidth="1"/>
    <col min="322" max="322" width="39.109375" bestFit="1" customWidth="1"/>
    <col min="323" max="323" width="11.5546875" bestFit="1" customWidth="1"/>
    <col min="324" max="324" width="42.44140625" bestFit="1" customWidth="1"/>
    <col min="325" max="325" width="11.5546875" bestFit="1" customWidth="1"/>
    <col min="326" max="326" width="42.44140625" bestFit="1" customWidth="1"/>
    <col min="327" max="327" width="12" bestFit="1" customWidth="1"/>
    <col min="328" max="328" width="42.88671875" bestFit="1" customWidth="1"/>
    <col min="329" max="329" width="6.21875" bestFit="1" customWidth="1"/>
    <col min="330" max="330" width="36.88671875" bestFit="1" customWidth="1"/>
    <col min="331" max="331" width="9.109375" bestFit="1" customWidth="1"/>
    <col min="332" max="332" width="39.88671875" bestFit="1" customWidth="1"/>
    <col min="333" max="333" width="6.88671875" bestFit="1" customWidth="1"/>
    <col min="334" max="334" width="37.5546875" bestFit="1" customWidth="1"/>
    <col min="335" max="335" width="9.44140625" bestFit="1" customWidth="1"/>
    <col min="336" max="336" width="40.21875" bestFit="1" customWidth="1"/>
    <col min="337" max="337" width="8.21875" bestFit="1" customWidth="1"/>
    <col min="338" max="338" width="39" bestFit="1" customWidth="1"/>
    <col min="339" max="339" width="11.33203125" bestFit="1" customWidth="1"/>
    <col min="340" max="340" width="42.21875" bestFit="1" customWidth="1"/>
    <col min="341" max="341" width="5.77734375" bestFit="1" customWidth="1"/>
    <col min="342" max="342" width="36.44140625" bestFit="1" customWidth="1"/>
    <col min="343" max="343" width="7.33203125" bestFit="1" customWidth="1"/>
    <col min="344" max="344" width="38.109375" bestFit="1" customWidth="1"/>
    <col min="345" max="345" width="9.44140625" bestFit="1" customWidth="1"/>
    <col min="346" max="346" width="40.21875" bestFit="1" customWidth="1"/>
    <col min="347" max="347" width="8.77734375" bestFit="1" customWidth="1"/>
    <col min="348" max="348" width="39.5546875" bestFit="1" customWidth="1"/>
    <col min="349" max="349" width="8.6640625" bestFit="1" customWidth="1"/>
    <col min="350" max="350" width="39.44140625" bestFit="1" customWidth="1"/>
    <col min="351" max="351" width="11.33203125" bestFit="1" customWidth="1"/>
    <col min="352" max="352" width="41.77734375" bestFit="1" customWidth="1"/>
    <col min="353" max="353" width="5.44140625" bestFit="1" customWidth="1"/>
    <col min="354" max="354" width="36.109375" bestFit="1" customWidth="1"/>
    <col min="355" max="355" width="6.44140625" bestFit="1" customWidth="1"/>
    <col min="356" max="356" width="37.109375" bestFit="1" customWidth="1"/>
    <col min="357" max="357" width="18.109375" bestFit="1" customWidth="1"/>
    <col min="358" max="358" width="35.109375" bestFit="1" customWidth="1"/>
    <col min="359" max="359" width="7.33203125" bestFit="1" customWidth="1"/>
    <col min="360" max="360" width="38.109375" bestFit="1" customWidth="1"/>
    <col min="361" max="361" width="7.109375" bestFit="1" customWidth="1"/>
    <col min="362" max="362" width="37.77734375" bestFit="1" customWidth="1"/>
    <col min="363" max="363" width="12.77734375" bestFit="1" customWidth="1"/>
    <col min="364" max="364" width="43.6640625" bestFit="1" customWidth="1"/>
    <col min="365" max="365" width="7" bestFit="1" customWidth="1"/>
    <col min="366" max="366" width="37.6640625" bestFit="1" customWidth="1"/>
    <col min="367" max="367" width="7.88671875" bestFit="1" customWidth="1"/>
    <col min="368" max="368" width="38.6640625" bestFit="1" customWidth="1"/>
    <col min="369" max="369" width="8" bestFit="1" customWidth="1"/>
    <col min="370" max="370" width="38.77734375" bestFit="1" customWidth="1"/>
    <col min="371" max="371" width="19" bestFit="1" customWidth="1"/>
    <col min="372" max="372" width="35.6640625" bestFit="1" customWidth="1"/>
    <col min="373" max="373" width="14.6640625" bestFit="1" customWidth="1"/>
    <col min="374" max="374" width="34.6640625" bestFit="1" customWidth="1"/>
    <col min="375" max="375" width="22.109375" bestFit="1" customWidth="1"/>
    <col min="376" max="376" width="35.77734375" bestFit="1" customWidth="1"/>
    <col min="377" max="377" width="8.33203125" bestFit="1" customWidth="1"/>
    <col min="378" max="378" width="39.109375" bestFit="1" customWidth="1"/>
    <col min="379" max="379" width="10.6640625" bestFit="1" customWidth="1"/>
    <col min="380" max="380" width="41.44140625" bestFit="1" customWidth="1"/>
    <col min="381" max="381" width="8.44140625" bestFit="1" customWidth="1"/>
    <col min="382" max="382" width="39.21875" bestFit="1" customWidth="1"/>
    <col min="383" max="383" width="10.109375" bestFit="1" customWidth="1"/>
    <col min="384" max="384" width="40.88671875" bestFit="1" customWidth="1"/>
    <col min="385" max="385" width="8.44140625" bestFit="1" customWidth="1"/>
    <col min="386" max="386" width="39.21875" bestFit="1" customWidth="1"/>
    <col min="387" max="387" width="7.21875" bestFit="1" customWidth="1"/>
    <col min="388" max="388" width="37.88671875" bestFit="1" customWidth="1"/>
    <col min="389" max="389" width="7.6640625" bestFit="1" customWidth="1"/>
    <col min="390" max="390" width="38.44140625" bestFit="1" customWidth="1"/>
    <col min="391" max="391" width="10.5546875" bestFit="1" customWidth="1"/>
    <col min="392" max="392" width="40.77734375" bestFit="1" customWidth="1"/>
    <col min="393" max="393" width="23.77734375" bestFit="1" customWidth="1"/>
    <col min="394" max="394" width="27.5546875" bestFit="1" customWidth="1"/>
  </cols>
  <sheetData>
    <row r="1" spans="1:394" x14ac:dyDescent="0.3">
      <c r="A1" s="6" t="s">
        <v>406</v>
      </c>
      <c r="B1" s="6" t="s">
        <v>2</v>
      </c>
      <c r="C1" s="6" t="s">
        <v>605</v>
      </c>
      <c r="D1" s="6" t="s">
        <v>3</v>
      </c>
      <c r="E1" s="6" t="s">
        <v>606</v>
      </c>
      <c r="F1" s="6" t="s">
        <v>72</v>
      </c>
      <c r="G1" s="6" t="s">
        <v>607</v>
      </c>
      <c r="H1" s="6" t="s">
        <v>107</v>
      </c>
      <c r="I1" s="6" t="s">
        <v>608</v>
      </c>
      <c r="J1" s="6" t="s">
        <v>217</v>
      </c>
      <c r="K1" s="6" t="s">
        <v>609</v>
      </c>
      <c r="L1" s="6" t="s">
        <v>218</v>
      </c>
      <c r="M1" s="6" t="s">
        <v>610</v>
      </c>
      <c r="N1" s="6" t="s">
        <v>219</v>
      </c>
      <c r="O1" s="6" t="s">
        <v>611</v>
      </c>
      <c r="P1" s="6" t="s">
        <v>220</v>
      </c>
      <c r="Q1" s="6" t="s">
        <v>612</v>
      </c>
      <c r="R1" s="6" t="s">
        <v>221</v>
      </c>
      <c r="S1" s="6" t="s">
        <v>613</v>
      </c>
      <c r="T1" s="6" t="s">
        <v>222</v>
      </c>
      <c r="U1" s="6" t="s">
        <v>614</v>
      </c>
      <c r="V1" s="6" t="s">
        <v>223</v>
      </c>
      <c r="W1" s="6" t="s">
        <v>615</v>
      </c>
      <c r="X1" s="6" t="s">
        <v>224</v>
      </c>
      <c r="Y1" s="6" t="s">
        <v>616</v>
      </c>
      <c r="Z1" s="6" t="s">
        <v>225</v>
      </c>
      <c r="AA1" s="6" t="s">
        <v>617</v>
      </c>
      <c r="AB1" s="6" t="s">
        <v>226</v>
      </c>
      <c r="AC1" s="6" t="s">
        <v>618</v>
      </c>
      <c r="AD1" s="6" t="s">
        <v>227</v>
      </c>
      <c r="AE1" s="6" t="s">
        <v>619</v>
      </c>
      <c r="AF1" s="6" t="s">
        <v>228</v>
      </c>
      <c r="AG1" s="6" t="s">
        <v>620</v>
      </c>
      <c r="AH1" s="6" t="s">
        <v>229</v>
      </c>
      <c r="AI1" s="6" t="s">
        <v>621</v>
      </c>
      <c r="AJ1" s="6" t="s">
        <v>230</v>
      </c>
      <c r="AK1" s="6" t="s">
        <v>622</v>
      </c>
      <c r="AL1" s="6" t="s">
        <v>231</v>
      </c>
      <c r="AM1" s="6" t="s">
        <v>623</v>
      </c>
      <c r="AN1" s="6" t="s">
        <v>232</v>
      </c>
      <c r="AO1" s="6" t="s">
        <v>624</v>
      </c>
      <c r="AP1" s="6" t="s">
        <v>233</v>
      </c>
      <c r="AQ1" s="6" t="s">
        <v>625</v>
      </c>
      <c r="AR1" s="6" t="s">
        <v>234</v>
      </c>
      <c r="AS1" s="6" t="s">
        <v>626</v>
      </c>
      <c r="AT1" s="6" t="s">
        <v>235</v>
      </c>
      <c r="AU1" s="6" t="s">
        <v>627</v>
      </c>
      <c r="AV1" s="6" t="s">
        <v>236</v>
      </c>
      <c r="AW1" s="6" t="s">
        <v>628</v>
      </c>
      <c r="AX1" s="6" t="s">
        <v>118</v>
      </c>
      <c r="AY1" s="6" t="s">
        <v>629</v>
      </c>
      <c r="AZ1" s="6" t="s">
        <v>237</v>
      </c>
      <c r="BA1" s="6" t="s">
        <v>630</v>
      </c>
      <c r="BB1" s="6" t="s">
        <v>238</v>
      </c>
      <c r="BC1" s="6" t="s">
        <v>631</v>
      </c>
      <c r="BD1" s="6" t="s">
        <v>239</v>
      </c>
      <c r="BE1" s="6" t="s">
        <v>632</v>
      </c>
      <c r="BF1" s="6" t="s">
        <v>240</v>
      </c>
      <c r="BG1" s="6" t="s">
        <v>633</v>
      </c>
      <c r="BH1" s="6" t="s">
        <v>241</v>
      </c>
      <c r="BI1" s="6" t="s">
        <v>634</v>
      </c>
      <c r="BJ1" s="6" t="s">
        <v>242</v>
      </c>
      <c r="BK1" s="6" t="s">
        <v>635</v>
      </c>
      <c r="BL1" s="6" t="s">
        <v>243</v>
      </c>
      <c r="BM1" s="6" t="s">
        <v>636</v>
      </c>
      <c r="BN1" s="6" t="s">
        <v>244</v>
      </c>
      <c r="BO1" s="6" t="s">
        <v>637</v>
      </c>
      <c r="BP1" s="6" t="s">
        <v>245</v>
      </c>
      <c r="BQ1" s="6" t="s">
        <v>638</v>
      </c>
      <c r="BR1" s="6" t="s">
        <v>246</v>
      </c>
      <c r="BS1" s="6" t="s">
        <v>639</v>
      </c>
      <c r="BT1" s="6" t="s">
        <v>247</v>
      </c>
      <c r="BU1" s="6" t="s">
        <v>640</v>
      </c>
      <c r="BV1" s="6" t="s">
        <v>132</v>
      </c>
      <c r="BW1" s="6" t="s">
        <v>641</v>
      </c>
      <c r="BX1" s="6" t="s">
        <v>248</v>
      </c>
      <c r="BY1" s="6" t="s">
        <v>642</v>
      </c>
      <c r="BZ1" s="6" t="s">
        <v>249</v>
      </c>
      <c r="CA1" s="6" t="s">
        <v>643</v>
      </c>
      <c r="CB1" s="6" t="s">
        <v>250</v>
      </c>
      <c r="CC1" s="6" t="s">
        <v>644</v>
      </c>
      <c r="CD1" s="6" t="s">
        <v>251</v>
      </c>
      <c r="CE1" s="6" t="s">
        <v>645</v>
      </c>
      <c r="CF1" s="6" t="s">
        <v>252</v>
      </c>
      <c r="CG1" s="6" t="s">
        <v>646</v>
      </c>
      <c r="CH1" s="6" t="s">
        <v>253</v>
      </c>
      <c r="CI1" s="6" t="s">
        <v>647</v>
      </c>
      <c r="CJ1" s="6" t="s">
        <v>254</v>
      </c>
      <c r="CK1" s="6" t="s">
        <v>648</v>
      </c>
      <c r="CL1" s="6" t="s">
        <v>255</v>
      </c>
      <c r="CM1" s="6" t="s">
        <v>649</v>
      </c>
      <c r="CN1" s="6" t="s">
        <v>256</v>
      </c>
      <c r="CO1" s="6" t="s">
        <v>650</v>
      </c>
      <c r="CP1" s="6" t="s">
        <v>257</v>
      </c>
      <c r="CQ1" s="6" t="s">
        <v>651</v>
      </c>
      <c r="CR1" s="6" t="s">
        <v>258</v>
      </c>
      <c r="CS1" s="6" t="s">
        <v>652</v>
      </c>
      <c r="CT1" s="6" t="s">
        <v>259</v>
      </c>
      <c r="CU1" s="6" t="s">
        <v>653</v>
      </c>
      <c r="CV1" s="6" t="s">
        <v>260</v>
      </c>
      <c r="CW1" s="6" t="s">
        <v>654</v>
      </c>
      <c r="CX1" s="6" t="s">
        <v>261</v>
      </c>
      <c r="CY1" s="6" t="s">
        <v>655</v>
      </c>
      <c r="CZ1" s="6" t="s">
        <v>262</v>
      </c>
      <c r="DA1" s="6" t="s">
        <v>656</v>
      </c>
      <c r="DB1" s="6" t="s">
        <v>263</v>
      </c>
      <c r="DC1" s="6" t="s">
        <v>657</v>
      </c>
      <c r="DD1" s="6" t="s">
        <v>264</v>
      </c>
      <c r="DE1" s="6" t="s">
        <v>658</v>
      </c>
      <c r="DF1" s="6" t="s">
        <v>265</v>
      </c>
      <c r="DG1" s="6" t="s">
        <v>659</v>
      </c>
      <c r="DH1" s="6" t="s">
        <v>266</v>
      </c>
      <c r="DI1" s="6" t="s">
        <v>660</v>
      </c>
      <c r="DJ1" s="6" t="s">
        <v>267</v>
      </c>
      <c r="DK1" s="6" t="s">
        <v>661</v>
      </c>
      <c r="DL1" s="6" t="s">
        <v>268</v>
      </c>
      <c r="DM1" s="6" t="s">
        <v>662</v>
      </c>
      <c r="DN1" s="6" t="s">
        <v>269</v>
      </c>
      <c r="DO1" s="6" t="s">
        <v>663</v>
      </c>
      <c r="DP1" s="6" t="s">
        <v>270</v>
      </c>
      <c r="DQ1" s="6" t="s">
        <v>271</v>
      </c>
      <c r="DR1" s="6" t="s">
        <v>664</v>
      </c>
      <c r="DS1" s="6" t="s">
        <v>272</v>
      </c>
      <c r="DT1" s="6" t="s">
        <v>665</v>
      </c>
      <c r="DU1" s="6" t="s">
        <v>273</v>
      </c>
      <c r="DV1" s="6" t="s">
        <v>666</v>
      </c>
      <c r="DW1" s="6" t="s">
        <v>274</v>
      </c>
      <c r="DX1" s="6" t="s">
        <v>667</v>
      </c>
      <c r="DY1" s="6" t="s">
        <v>275</v>
      </c>
      <c r="DZ1" s="6" t="s">
        <v>668</v>
      </c>
      <c r="EA1" s="6" t="s">
        <v>276</v>
      </c>
      <c r="EB1" s="6" t="s">
        <v>669</v>
      </c>
      <c r="EC1" s="6" t="s">
        <v>277</v>
      </c>
      <c r="ED1" s="6" t="s">
        <v>670</v>
      </c>
      <c r="EE1" s="6" t="s">
        <v>278</v>
      </c>
      <c r="EF1" s="6" t="s">
        <v>671</v>
      </c>
      <c r="EG1" s="6" t="s">
        <v>279</v>
      </c>
      <c r="EH1" s="6" t="s">
        <v>672</v>
      </c>
      <c r="EI1" s="6" t="s">
        <v>280</v>
      </c>
      <c r="EJ1" s="6" t="s">
        <v>673</v>
      </c>
      <c r="EK1" s="6" t="s">
        <v>281</v>
      </c>
      <c r="EL1" s="6" t="s">
        <v>674</v>
      </c>
      <c r="EM1" s="6" t="s">
        <v>120</v>
      </c>
      <c r="EN1" s="6" t="s">
        <v>675</v>
      </c>
      <c r="EO1" s="6" t="s">
        <v>282</v>
      </c>
      <c r="EP1" s="6" t="s">
        <v>676</v>
      </c>
      <c r="EQ1" s="6" t="s">
        <v>283</v>
      </c>
      <c r="ER1" s="6" t="s">
        <v>677</v>
      </c>
      <c r="ES1" s="6" t="s">
        <v>285</v>
      </c>
      <c r="ET1" s="6" t="s">
        <v>678</v>
      </c>
      <c r="EU1" s="6" t="s">
        <v>286</v>
      </c>
      <c r="EV1" s="6" t="s">
        <v>679</v>
      </c>
      <c r="EW1" s="6" t="s">
        <v>287</v>
      </c>
      <c r="EX1" s="6" t="s">
        <v>680</v>
      </c>
      <c r="EY1" s="6" t="s">
        <v>288</v>
      </c>
      <c r="EZ1" s="6" t="s">
        <v>681</v>
      </c>
      <c r="FA1" s="6" t="s">
        <v>289</v>
      </c>
      <c r="FB1" s="6" t="s">
        <v>682</v>
      </c>
      <c r="FC1" s="6" t="s">
        <v>290</v>
      </c>
      <c r="FD1" s="6" t="s">
        <v>683</v>
      </c>
      <c r="FE1" s="6" t="s">
        <v>291</v>
      </c>
      <c r="FF1" s="6" t="s">
        <v>684</v>
      </c>
      <c r="FG1" s="6" t="s">
        <v>292</v>
      </c>
      <c r="FH1" s="6" t="s">
        <v>685</v>
      </c>
      <c r="FI1" s="6" t="s">
        <v>293</v>
      </c>
      <c r="FJ1" s="6" t="s">
        <v>686</v>
      </c>
      <c r="FK1" s="6" t="s">
        <v>294</v>
      </c>
      <c r="FL1" s="6" t="s">
        <v>687</v>
      </c>
      <c r="FM1" s="6" t="s">
        <v>295</v>
      </c>
      <c r="FN1" s="6" t="s">
        <v>688</v>
      </c>
      <c r="FO1" s="6" t="s">
        <v>296</v>
      </c>
      <c r="FP1" s="6" t="s">
        <v>689</v>
      </c>
      <c r="FQ1" s="6" t="s">
        <v>298</v>
      </c>
      <c r="FR1" s="6" t="s">
        <v>690</v>
      </c>
      <c r="FS1" s="6" t="s">
        <v>124</v>
      </c>
      <c r="FT1" s="6" t="s">
        <v>691</v>
      </c>
      <c r="FU1" s="6" t="s">
        <v>299</v>
      </c>
      <c r="FV1" s="6" t="s">
        <v>692</v>
      </c>
      <c r="FW1" s="6" t="s">
        <v>300</v>
      </c>
      <c r="FX1" s="6" t="s">
        <v>693</v>
      </c>
      <c r="FY1" s="6" t="s">
        <v>301</v>
      </c>
      <c r="FZ1" s="6" t="s">
        <v>694</v>
      </c>
      <c r="GA1" s="6" t="s">
        <v>302</v>
      </c>
      <c r="GB1" s="6" t="s">
        <v>695</v>
      </c>
      <c r="GC1" s="6" t="s">
        <v>303</v>
      </c>
      <c r="GD1" s="6" t="s">
        <v>696</v>
      </c>
      <c r="GE1" s="6" t="s">
        <v>304</v>
      </c>
      <c r="GF1" s="6" t="s">
        <v>697</v>
      </c>
      <c r="GG1" s="6" t="s">
        <v>305</v>
      </c>
      <c r="GH1" s="6" t="s">
        <v>698</v>
      </c>
      <c r="GI1" s="6" t="s">
        <v>306</v>
      </c>
      <c r="GJ1" s="6" t="s">
        <v>699</v>
      </c>
      <c r="GK1" s="6" t="s">
        <v>307</v>
      </c>
      <c r="GL1" s="6" t="s">
        <v>700</v>
      </c>
      <c r="GM1" s="6" t="s">
        <v>308</v>
      </c>
      <c r="GN1" s="6" t="s">
        <v>701</v>
      </c>
      <c r="GO1" s="6" t="s">
        <v>309</v>
      </c>
      <c r="GP1" s="6" t="s">
        <v>702</v>
      </c>
      <c r="GQ1" s="6" t="s">
        <v>310</v>
      </c>
      <c r="GR1" s="6" t="s">
        <v>703</v>
      </c>
      <c r="GS1" s="6" t="s">
        <v>311</v>
      </c>
      <c r="GT1" s="6" t="s">
        <v>704</v>
      </c>
      <c r="GU1" s="6" t="s">
        <v>312</v>
      </c>
      <c r="GV1" s="6" t="s">
        <v>705</v>
      </c>
      <c r="GW1" s="6" t="s">
        <v>313</v>
      </c>
      <c r="GX1" s="6" t="s">
        <v>706</v>
      </c>
      <c r="GY1" s="6" t="s">
        <v>314</v>
      </c>
      <c r="GZ1" s="6" t="s">
        <v>707</v>
      </c>
      <c r="HA1" s="6" t="s">
        <v>315</v>
      </c>
      <c r="HB1" s="6" t="s">
        <v>708</v>
      </c>
      <c r="HC1" s="6" t="s">
        <v>316</v>
      </c>
      <c r="HD1" s="6" t="s">
        <v>709</v>
      </c>
      <c r="HE1" s="6" t="s">
        <v>317</v>
      </c>
      <c r="HF1" s="6" t="s">
        <v>710</v>
      </c>
      <c r="HG1" s="6" t="s">
        <v>318</v>
      </c>
      <c r="HH1" s="6" t="s">
        <v>711</v>
      </c>
      <c r="HI1" s="6" t="s">
        <v>319</v>
      </c>
      <c r="HJ1" s="6" t="s">
        <v>712</v>
      </c>
      <c r="HK1" s="6" t="s">
        <v>320</v>
      </c>
      <c r="HL1" s="6" t="s">
        <v>713</v>
      </c>
      <c r="HM1" s="6" t="s">
        <v>128</v>
      </c>
      <c r="HN1" s="6" t="s">
        <v>714</v>
      </c>
      <c r="HO1" s="6" t="s">
        <v>321</v>
      </c>
      <c r="HP1" s="6" t="s">
        <v>715</v>
      </c>
      <c r="HQ1" s="6" t="s">
        <v>322</v>
      </c>
      <c r="HR1" s="6" t="s">
        <v>716</v>
      </c>
      <c r="HS1" s="6" t="s">
        <v>323</v>
      </c>
      <c r="HT1" s="6" t="s">
        <v>717</v>
      </c>
      <c r="HU1" s="6" t="s">
        <v>324</v>
      </c>
      <c r="HV1" s="6" t="s">
        <v>718</v>
      </c>
      <c r="HW1" s="6" t="s">
        <v>325</v>
      </c>
      <c r="HX1" s="6" t="s">
        <v>719</v>
      </c>
      <c r="HY1" s="6" t="s">
        <v>131</v>
      </c>
      <c r="HZ1" s="6" t="s">
        <v>720</v>
      </c>
      <c r="IA1" s="6" t="s">
        <v>326</v>
      </c>
      <c r="IB1" s="6" t="s">
        <v>721</v>
      </c>
      <c r="IC1" s="6" t="s">
        <v>327</v>
      </c>
      <c r="ID1" s="6" t="s">
        <v>722</v>
      </c>
      <c r="IE1" s="6" t="s">
        <v>328</v>
      </c>
      <c r="IF1" s="6" t="s">
        <v>723</v>
      </c>
      <c r="IG1" s="6" t="s">
        <v>329</v>
      </c>
      <c r="IH1" s="6" t="s">
        <v>724</v>
      </c>
      <c r="II1" s="6" t="s">
        <v>330</v>
      </c>
      <c r="IJ1" s="6" t="s">
        <v>725</v>
      </c>
      <c r="IK1" s="6" t="s">
        <v>331</v>
      </c>
      <c r="IL1" s="6" t="s">
        <v>726</v>
      </c>
      <c r="IM1" s="6" t="s">
        <v>332</v>
      </c>
      <c r="IN1" s="6" t="s">
        <v>727</v>
      </c>
      <c r="IO1" s="6" t="s">
        <v>333</v>
      </c>
      <c r="IP1" s="6" t="s">
        <v>728</v>
      </c>
      <c r="IQ1" s="6" t="s">
        <v>334</v>
      </c>
      <c r="IR1" s="6" t="s">
        <v>729</v>
      </c>
      <c r="IS1" s="6" t="s">
        <v>335</v>
      </c>
      <c r="IT1" s="6" t="s">
        <v>730</v>
      </c>
      <c r="IU1" s="6" t="s">
        <v>336</v>
      </c>
      <c r="IV1" s="6" t="s">
        <v>731</v>
      </c>
      <c r="IW1" s="6" t="s">
        <v>337</v>
      </c>
      <c r="IX1" s="6" t="s">
        <v>732</v>
      </c>
      <c r="IY1" s="6" t="s">
        <v>338</v>
      </c>
      <c r="IZ1" s="6" t="s">
        <v>733</v>
      </c>
      <c r="JA1" s="6" t="s">
        <v>339</v>
      </c>
      <c r="JB1" s="6" t="s">
        <v>734</v>
      </c>
      <c r="JC1" s="6" t="s">
        <v>340</v>
      </c>
      <c r="JD1" s="6" t="s">
        <v>735</v>
      </c>
      <c r="JE1" s="6" t="s">
        <v>341</v>
      </c>
      <c r="JF1" s="6" t="s">
        <v>736</v>
      </c>
      <c r="JG1" s="6" t="s">
        <v>342</v>
      </c>
      <c r="JH1" s="6" t="s">
        <v>737</v>
      </c>
      <c r="JI1" s="6" t="s">
        <v>343</v>
      </c>
      <c r="JJ1" s="6" t="s">
        <v>738</v>
      </c>
      <c r="JK1" s="6" t="s">
        <v>344</v>
      </c>
      <c r="JL1" s="6" t="s">
        <v>739</v>
      </c>
      <c r="JM1" s="6" t="s">
        <v>345</v>
      </c>
      <c r="JN1" s="6" t="s">
        <v>740</v>
      </c>
      <c r="JO1" s="6" t="s">
        <v>127</v>
      </c>
      <c r="JP1" s="6" t="s">
        <v>741</v>
      </c>
      <c r="JQ1" s="6" t="s">
        <v>346</v>
      </c>
      <c r="JR1" s="6" t="s">
        <v>742</v>
      </c>
      <c r="JS1" s="6" t="s">
        <v>347</v>
      </c>
      <c r="JT1" s="6" t="s">
        <v>743</v>
      </c>
      <c r="JU1" s="6" t="s">
        <v>348</v>
      </c>
      <c r="JV1" s="6" t="s">
        <v>744</v>
      </c>
      <c r="JW1" s="6" t="s">
        <v>349</v>
      </c>
      <c r="JX1" s="6" t="s">
        <v>745</v>
      </c>
      <c r="JY1" s="6" t="s">
        <v>350</v>
      </c>
      <c r="JZ1" s="6" t="s">
        <v>746</v>
      </c>
      <c r="KA1" s="6" t="s">
        <v>351</v>
      </c>
      <c r="KB1" s="6" t="s">
        <v>747</v>
      </c>
      <c r="KC1" s="6" t="s">
        <v>352</v>
      </c>
      <c r="KD1" s="6" t="s">
        <v>748</v>
      </c>
      <c r="KE1" s="6" t="s">
        <v>353</v>
      </c>
      <c r="KF1" s="6" t="s">
        <v>749</v>
      </c>
      <c r="KG1" s="6" t="s">
        <v>354</v>
      </c>
      <c r="KH1" s="6" t="s">
        <v>750</v>
      </c>
      <c r="KI1" s="6" t="s">
        <v>355</v>
      </c>
      <c r="KJ1" s="6" t="s">
        <v>751</v>
      </c>
      <c r="KK1" s="6" t="s">
        <v>356</v>
      </c>
      <c r="KL1" s="6" t="s">
        <v>752</v>
      </c>
      <c r="KM1" s="6" t="s">
        <v>357</v>
      </c>
      <c r="KN1" s="6" t="s">
        <v>753</v>
      </c>
      <c r="KO1" s="6" t="s">
        <v>358</v>
      </c>
      <c r="KP1" s="6" t="s">
        <v>754</v>
      </c>
      <c r="KQ1" s="6" t="s">
        <v>359</v>
      </c>
      <c r="KR1" s="6" t="s">
        <v>755</v>
      </c>
      <c r="KS1" s="6" t="s">
        <v>360</v>
      </c>
      <c r="KT1" s="6" t="s">
        <v>756</v>
      </c>
      <c r="KU1" s="6" t="s">
        <v>361</v>
      </c>
      <c r="KV1" s="6" t="s">
        <v>757</v>
      </c>
      <c r="KW1" s="6" t="s">
        <v>362</v>
      </c>
      <c r="KX1" s="6" t="s">
        <v>758</v>
      </c>
      <c r="KY1" s="6" t="s">
        <v>363</v>
      </c>
      <c r="KZ1" s="6" t="s">
        <v>759</v>
      </c>
      <c r="LA1" s="6" t="s">
        <v>364</v>
      </c>
      <c r="LB1" s="6" t="s">
        <v>760</v>
      </c>
      <c r="LC1" s="6" t="s">
        <v>365</v>
      </c>
      <c r="LD1" s="6" t="s">
        <v>761</v>
      </c>
      <c r="LE1" s="6" t="s">
        <v>366</v>
      </c>
      <c r="LF1" s="6" t="s">
        <v>762</v>
      </c>
      <c r="LG1" s="6" t="s">
        <v>367</v>
      </c>
      <c r="LH1" s="6" t="s">
        <v>763</v>
      </c>
      <c r="LI1" s="6" t="s">
        <v>368</v>
      </c>
      <c r="LJ1" s="6" t="s">
        <v>764</v>
      </c>
      <c r="LK1" s="6" t="s">
        <v>122</v>
      </c>
      <c r="LL1" s="6" t="s">
        <v>765</v>
      </c>
      <c r="LM1" s="6" t="s">
        <v>369</v>
      </c>
      <c r="LN1" s="6" t="s">
        <v>766</v>
      </c>
      <c r="LO1" s="6" t="s">
        <v>370</v>
      </c>
      <c r="LP1" s="6" t="s">
        <v>767</v>
      </c>
      <c r="LQ1" s="6" t="s">
        <v>371</v>
      </c>
      <c r="LR1" s="6" t="s">
        <v>768</v>
      </c>
      <c r="LS1" s="6" t="s">
        <v>372</v>
      </c>
      <c r="LT1" s="6" t="s">
        <v>769</v>
      </c>
      <c r="LU1" s="6" t="s">
        <v>373</v>
      </c>
      <c r="LV1" s="6" t="s">
        <v>770</v>
      </c>
      <c r="LW1" s="6" t="s">
        <v>374</v>
      </c>
      <c r="LX1" s="6" t="s">
        <v>771</v>
      </c>
      <c r="LY1" s="6" t="s">
        <v>375</v>
      </c>
      <c r="LZ1" s="6" t="s">
        <v>772</v>
      </c>
      <c r="MA1" s="6" t="s">
        <v>376</v>
      </c>
      <c r="MB1" s="6" t="s">
        <v>773</v>
      </c>
      <c r="MC1" s="6" t="s">
        <v>377</v>
      </c>
      <c r="MD1" s="10" t="s">
        <v>774</v>
      </c>
      <c r="ME1" s="6" t="s">
        <v>378</v>
      </c>
      <c r="MF1" s="6" t="s">
        <v>775</v>
      </c>
      <c r="MG1" s="6" t="s">
        <v>379</v>
      </c>
      <c r="MH1" s="6" t="s">
        <v>776</v>
      </c>
      <c r="MI1" s="6" t="s">
        <v>380</v>
      </c>
      <c r="MJ1" s="6" t="s">
        <v>777</v>
      </c>
      <c r="MK1" s="6" t="s">
        <v>381</v>
      </c>
      <c r="ML1" s="6" t="s">
        <v>778</v>
      </c>
      <c r="MM1" s="6" t="s">
        <v>382</v>
      </c>
      <c r="MN1" s="6" t="s">
        <v>779</v>
      </c>
      <c r="MO1" s="6" t="s">
        <v>383</v>
      </c>
      <c r="MP1" s="6" t="s">
        <v>780</v>
      </c>
      <c r="MQ1" s="6" t="s">
        <v>384</v>
      </c>
      <c r="MR1" s="6" t="s">
        <v>781</v>
      </c>
      <c r="MS1" s="6" t="s">
        <v>385</v>
      </c>
      <c r="MT1" s="6" t="s">
        <v>782</v>
      </c>
      <c r="MU1" s="6" t="s">
        <v>386</v>
      </c>
      <c r="MV1" s="6" t="s">
        <v>783</v>
      </c>
      <c r="MW1" s="6" t="s">
        <v>123</v>
      </c>
      <c r="MX1" s="6" t="s">
        <v>784</v>
      </c>
      <c r="MY1" s="6" t="s">
        <v>387</v>
      </c>
      <c r="MZ1" s="6" t="s">
        <v>785</v>
      </c>
      <c r="NA1" s="6" t="s">
        <v>388</v>
      </c>
      <c r="NB1" s="6" t="s">
        <v>786</v>
      </c>
      <c r="NC1" s="6" t="s">
        <v>389</v>
      </c>
      <c r="ND1" s="6" t="s">
        <v>787</v>
      </c>
      <c r="NE1" s="6" t="s">
        <v>390</v>
      </c>
      <c r="NF1" s="6" t="s">
        <v>788</v>
      </c>
      <c r="NG1" s="6" t="s">
        <v>391</v>
      </c>
      <c r="NH1" s="6" t="s">
        <v>789</v>
      </c>
      <c r="NI1" s="6" t="s">
        <v>392</v>
      </c>
      <c r="NJ1" s="6" t="s">
        <v>790</v>
      </c>
      <c r="NK1" s="6" t="s">
        <v>393</v>
      </c>
      <c r="NL1" s="6" t="s">
        <v>791</v>
      </c>
      <c r="NM1" s="6" t="s">
        <v>394</v>
      </c>
      <c r="NN1" s="6" t="s">
        <v>792</v>
      </c>
      <c r="NO1" s="6" t="s">
        <v>395</v>
      </c>
      <c r="NP1" s="6" t="s">
        <v>793</v>
      </c>
      <c r="NQ1" s="6" t="s">
        <v>396</v>
      </c>
      <c r="NR1" s="6" t="s">
        <v>794</v>
      </c>
      <c r="NS1" s="6" t="s">
        <v>397</v>
      </c>
      <c r="NT1" s="6" t="s">
        <v>795</v>
      </c>
      <c r="NU1" s="6" t="s">
        <v>398</v>
      </c>
      <c r="NV1" s="6" t="s">
        <v>796</v>
      </c>
      <c r="NW1" s="6" t="s">
        <v>399</v>
      </c>
      <c r="NX1" s="6" t="s">
        <v>797</v>
      </c>
      <c r="NY1" s="6" t="s">
        <v>400</v>
      </c>
      <c r="NZ1" s="6" t="s">
        <v>798</v>
      </c>
      <c r="OA1" s="6" t="s">
        <v>401</v>
      </c>
      <c r="OB1" s="6" t="s">
        <v>799</v>
      </c>
      <c r="OC1" s="6" t="s">
        <v>402</v>
      </c>
      <c r="OD1" s="6" t="s">
        <v>403</v>
      </c>
    </row>
    <row r="2" spans="1:394" ht="28.8" x14ac:dyDescent="0.3">
      <c r="A2" s="7" t="s">
        <v>137</v>
      </c>
      <c r="B2" s="8">
        <v>25.78</v>
      </c>
      <c r="C2" s="9" t="s">
        <v>804</v>
      </c>
      <c r="D2" s="8">
        <v>0</v>
      </c>
      <c r="E2" s="8" t="s">
        <v>805</v>
      </c>
      <c r="F2" s="8">
        <v>0</v>
      </c>
      <c r="G2" s="8" t="s">
        <v>805</v>
      </c>
      <c r="H2" s="8">
        <v>0</v>
      </c>
      <c r="I2" s="8" t="s">
        <v>805</v>
      </c>
      <c r="J2" s="8">
        <v>0</v>
      </c>
      <c r="K2" s="8" t="s">
        <v>805</v>
      </c>
      <c r="L2" s="8">
        <v>0</v>
      </c>
      <c r="M2" s="8" t="s">
        <v>805</v>
      </c>
      <c r="N2" s="8">
        <v>0</v>
      </c>
      <c r="O2" s="8" t="s">
        <v>805</v>
      </c>
      <c r="P2" s="8">
        <v>0</v>
      </c>
      <c r="Q2" s="8" t="s">
        <v>805</v>
      </c>
      <c r="R2" s="8">
        <v>0</v>
      </c>
      <c r="S2" s="8" t="s">
        <v>805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</row>
    <row r="3" spans="1:394" x14ac:dyDescent="0.3">
      <c r="A3" s="7" t="s">
        <v>138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</row>
    <row r="4" spans="1:394" x14ac:dyDescent="0.3">
      <c r="A4" s="7" t="s">
        <v>139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</row>
    <row r="5" spans="1:394" x14ac:dyDescent="0.3">
      <c r="A5" s="7" t="s">
        <v>140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</row>
    <row r="6" spans="1:394" x14ac:dyDescent="0.3">
      <c r="A6" s="7" t="s">
        <v>141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</row>
    <row r="7" spans="1:394" x14ac:dyDescent="0.3">
      <c r="A7" s="7" t="s">
        <v>142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</row>
    <row r="8" spans="1:394" x14ac:dyDescent="0.3">
      <c r="A8" s="7" t="s">
        <v>143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</row>
    <row r="9" spans="1:394" x14ac:dyDescent="0.3">
      <c r="A9" s="7" t="s">
        <v>144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</row>
    <row r="10" spans="1:394" x14ac:dyDescent="0.3">
      <c r="A10" s="7" t="s">
        <v>145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</row>
    <row r="11" spans="1:394" x14ac:dyDescent="0.3">
      <c r="A11" s="7" t="s">
        <v>125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</row>
    <row r="12" spans="1:394" x14ac:dyDescent="0.3">
      <c r="A12" s="7" t="s">
        <v>129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</row>
    <row r="13" spans="1:394" x14ac:dyDescent="0.3">
      <c r="A13" s="7" t="s">
        <v>146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</row>
    <row r="14" spans="1:394" x14ac:dyDescent="0.3">
      <c r="A14" s="7" t="s">
        <v>147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</row>
    <row r="15" spans="1:394" x14ac:dyDescent="0.3">
      <c r="A15" s="7" t="s">
        <v>148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</row>
    <row r="16" spans="1:394" x14ac:dyDescent="0.3">
      <c r="A16" s="7" t="s">
        <v>149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</row>
    <row r="17" spans="1:394" x14ac:dyDescent="0.3">
      <c r="A17" s="7" t="s">
        <v>150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</row>
    <row r="18" spans="1:394" x14ac:dyDescent="0.3">
      <c r="A18" s="7" t="s">
        <v>151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</row>
    <row r="19" spans="1:394" x14ac:dyDescent="0.3">
      <c r="A19" s="7" t="s">
        <v>152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</row>
    <row r="20" spans="1:394" x14ac:dyDescent="0.3">
      <c r="A20" s="7" t="s">
        <v>153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</row>
    <row r="21" spans="1:394" x14ac:dyDescent="0.3">
      <c r="A21" s="7" t="s">
        <v>154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</row>
    <row r="22" spans="1:394" x14ac:dyDescent="0.3">
      <c r="A22" s="7" t="s">
        <v>155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</row>
    <row r="23" spans="1:394" x14ac:dyDescent="0.3">
      <c r="A23" s="7" t="s">
        <v>156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</row>
    <row r="24" spans="1:394" x14ac:dyDescent="0.3">
      <c r="A24" s="7" t="s">
        <v>157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</row>
    <row r="25" spans="1:394" x14ac:dyDescent="0.3">
      <c r="A25" s="7" t="s">
        <v>158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</row>
    <row r="26" spans="1:394" x14ac:dyDescent="0.3">
      <c r="A26" s="7" t="s">
        <v>133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</row>
    <row r="27" spans="1:394" x14ac:dyDescent="0.3">
      <c r="A27" s="7" t="s">
        <v>159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</row>
    <row r="28" spans="1:394" x14ac:dyDescent="0.3">
      <c r="A28" s="7" t="s">
        <v>160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</row>
    <row r="29" spans="1:394" x14ac:dyDescent="0.3">
      <c r="A29" s="7" t="s">
        <v>161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</row>
    <row r="30" spans="1:394" x14ac:dyDescent="0.3">
      <c r="A30" s="7" t="s">
        <v>162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</row>
    <row r="31" spans="1:394" x14ac:dyDescent="0.3">
      <c r="A31" s="7" t="s">
        <v>163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</row>
    <row r="32" spans="1:394" x14ac:dyDescent="0.3">
      <c r="A32" s="7" t="s">
        <v>164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</row>
    <row r="33" spans="1:394" x14ac:dyDescent="0.3">
      <c r="A33" s="7" t="s">
        <v>165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</row>
    <row r="34" spans="1:394" x14ac:dyDescent="0.3">
      <c r="A34" s="7" t="s">
        <v>166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</row>
    <row r="35" spans="1:394" x14ac:dyDescent="0.3">
      <c r="A35" s="7" t="s">
        <v>167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</row>
    <row r="36" spans="1:394" x14ac:dyDescent="0.3">
      <c r="A36" s="7" t="s">
        <v>168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</row>
    <row r="37" spans="1:394" x14ac:dyDescent="0.3">
      <c r="A37" s="7" t="s">
        <v>169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</row>
    <row r="38" spans="1:394" x14ac:dyDescent="0.3">
      <c r="A38" s="7" t="s">
        <v>170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</row>
    <row r="39" spans="1:394" x14ac:dyDescent="0.3">
      <c r="A39" s="7" t="s">
        <v>171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</row>
    <row r="40" spans="1:394" x14ac:dyDescent="0.3">
      <c r="A40" s="7" t="s">
        <v>172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</row>
    <row r="41" spans="1:394" x14ac:dyDescent="0.3">
      <c r="A41" s="7" t="s">
        <v>173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</row>
    <row r="42" spans="1:394" x14ac:dyDescent="0.3">
      <c r="A42" s="7" t="s">
        <v>174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</row>
    <row r="43" spans="1:394" x14ac:dyDescent="0.3">
      <c r="A43" s="7" t="s">
        <v>175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</row>
    <row r="44" spans="1:394" x14ac:dyDescent="0.3">
      <c r="A44" s="7" t="s">
        <v>176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</row>
    <row r="45" spans="1:394" x14ac:dyDescent="0.3">
      <c r="A45" s="7" t="s">
        <v>177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</row>
    <row r="46" spans="1:394" x14ac:dyDescent="0.3">
      <c r="A46" s="7" t="s">
        <v>178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</row>
    <row r="47" spans="1:394" x14ac:dyDescent="0.3">
      <c r="A47" s="7" t="s">
        <v>179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</row>
    <row r="48" spans="1:394" x14ac:dyDescent="0.3">
      <c r="A48" s="7" t="s">
        <v>180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</row>
    <row r="49" spans="1:394" x14ac:dyDescent="0.3">
      <c r="A49" s="7" t="s">
        <v>181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</row>
    <row r="50" spans="1:394" x14ac:dyDescent="0.3">
      <c r="A50" s="7" t="s">
        <v>182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</row>
    <row r="51" spans="1:394" x14ac:dyDescent="0.3">
      <c r="A51" s="7" t="s">
        <v>183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</row>
    <row r="52" spans="1:394" x14ac:dyDescent="0.3">
      <c r="A52" s="7" t="s">
        <v>184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</row>
    <row r="53" spans="1:394" x14ac:dyDescent="0.3">
      <c r="A53" s="7" t="s">
        <v>185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</row>
    <row r="54" spans="1:394" x14ac:dyDescent="0.3">
      <c r="A54" s="7" t="s">
        <v>186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</row>
    <row r="55" spans="1:394" x14ac:dyDescent="0.3">
      <c r="A55" s="7" t="s">
        <v>187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</row>
    <row r="56" spans="1:394" x14ac:dyDescent="0.3">
      <c r="A56" s="7" t="s">
        <v>188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</row>
    <row r="57" spans="1:394" x14ac:dyDescent="0.3">
      <c r="A57" s="7" t="s">
        <v>189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</row>
    <row r="58" spans="1:394" x14ac:dyDescent="0.3">
      <c r="A58" s="7" t="s">
        <v>190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</row>
    <row r="59" spans="1:394" x14ac:dyDescent="0.3">
      <c r="A59" s="7" t="s">
        <v>191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</row>
    <row r="60" spans="1:394" x14ac:dyDescent="0.3">
      <c r="A60" s="7" t="s">
        <v>192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</row>
    <row r="61" spans="1:394" x14ac:dyDescent="0.3">
      <c r="A61" s="7" t="s">
        <v>193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</row>
    <row r="62" spans="1:394" x14ac:dyDescent="0.3">
      <c r="A62" s="7" t="s">
        <v>194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</row>
    <row r="63" spans="1:394" x14ac:dyDescent="0.3">
      <c r="A63" s="7" t="s">
        <v>195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</row>
    <row r="64" spans="1:394" x14ac:dyDescent="0.3">
      <c r="A64" s="7" t="s">
        <v>196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</row>
    <row r="65" spans="1:394" x14ac:dyDescent="0.3">
      <c r="A65" s="7" t="s">
        <v>197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</row>
    <row r="66" spans="1:394" x14ac:dyDescent="0.3">
      <c r="A66" s="7" t="s">
        <v>198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</row>
    <row r="67" spans="1:394" x14ac:dyDescent="0.3">
      <c r="A67" s="7" t="s">
        <v>199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</row>
    <row r="68" spans="1:394" x14ac:dyDescent="0.3">
      <c r="A68" s="7" t="s">
        <v>200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</row>
    <row r="69" spans="1:394" x14ac:dyDescent="0.3">
      <c r="A69" s="7" t="s">
        <v>201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8"/>
      <c r="MG69" s="8"/>
      <c r="MH69" s="8"/>
      <c r="MI69" s="8"/>
      <c r="MJ69" s="8"/>
      <c r="MK69" s="8"/>
      <c r="ML69" s="8"/>
      <c r="MM69" s="8"/>
      <c r="MN69" s="8"/>
      <c r="MO69" s="8"/>
      <c r="MP69" s="8"/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</row>
    <row r="70" spans="1:394" x14ac:dyDescent="0.3">
      <c r="A70" s="7" t="s">
        <v>202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8"/>
      <c r="LP70" s="8"/>
      <c r="LQ70" s="8"/>
      <c r="LR70" s="8"/>
      <c r="LS70" s="8"/>
      <c r="LT70" s="8"/>
      <c r="LU70" s="8"/>
      <c r="LV70" s="8"/>
      <c r="LW70" s="8"/>
      <c r="LX70" s="8"/>
      <c r="LY70" s="8"/>
      <c r="LZ70" s="8"/>
      <c r="MA70" s="8"/>
      <c r="MB70" s="8"/>
      <c r="MC70" s="8"/>
      <c r="MD70" s="8"/>
      <c r="ME70" s="8"/>
      <c r="MF70" s="8"/>
      <c r="MG70" s="8"/>
      <c r="MH70" s="8"/>
      <c r="MI70" s="8"/>
      <c r="MJ70" s="8"/>
      <c r="MK70" s="8"/>
      <c r="ML70" s="8"/>
      <c r="MM70" s="8"/>
      <c r="MN70" s="8"/>
      <c r="MO70" s="8"/>
      <c r="MP70" s="8"/>
      <c r="MQ70" s="8"/>
      <c r="MR70" s="8"/>
      <c r="MS70" s="8"/>
      <c r="MT70" s="8"/>
      <c r="MU70" s="8"/>
      <c r="MV70" s="8"/>
      <c r="MW70" s="8"/>
      <c r="MX70" s="8"/>
      <c r="MY70" s="8"/>
      <c r="MZ70" s="8"/>
      <c r="NA70" s="8"/>
      <c r="NB70" s="8"/>
      <c r="NC70" s="8"/>
      <c r="ND70" s="8"/>
      <c r="NE70" s="8"/>
      <c r="NF70" s="8"/>
      <c r="NG70" s="8"/>
      <c r="NH70" s="8"/>
      <c r="NI70" s="8"/>
      <c r="NJ70" s="8"/>
      <c r="NK70" s="8"/>
      <c r="NL70" s="8"/>
      <c r="NM70" s="8"/>
      <c r="NN70" s="8"/>
      <c r="NO70" s="8"/>
      <c r="NP70" s="8"/>
      <c r="NQ70" s="8"/>
      <c r="NR70" s="8"/>
      <c r="NS70" s="8"/>
      <c r="NT70" s="8"/>
      <c r="NU70" s="8"/>
      <c r="NV70" s="8"/>
      <c r="NW70" s="8"/>
      <c r="NX70" s="8"/>
      <c r="NY70" s="8"/>
      <c r="NZ70" s="8"/>
      <c r="OA70" s="8"/>
      <c r="OB70" s="8"/>
      <c r="OC70" s="8"/>
      <c r="OD70" s="8"/>
    </row>
    <row r="71" spans="1:394" x14ac:dyDescent="0.3">
      <c r="A71" s="7" t="s">
        <v>203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8"/>
      <c r="LP71" s="8"/>
      <c r="LQ71" s="8"/>
      <c r="LR71" s="8"/>
      <c r="LS71" s="8"/>
      <c r="LT71" s="8"/>
      <c r="LU71" s="8"/>
      <c r="LV71" s="8"/>
      <c r="LW71" s="8"/>
      <c r="LX71" s="8"/>
      <c r="LY71" s="8"/>
      <c r="LZ71" s="8"/>
      <c r="MA71" s="8"/>
      <c r="MB71" s="8"/>
      <c r="MC71" s="8"/>
      <c r="MD71" s="8"/>
      <c r="ME71" s="8"/>
      <c r="MF71" s="8"/>
      <c r="MG71" s="8"/>
      <c r="MH71" s="8"/>
      <c r="MI71" s="8"/>
      <c r="MJ71" s="8"/>
      <c r="MK71" s="8"/>
      <c r="ML71" s="8"/>
      <c r="MM71" s="8"/>
      <c r="MN71" s="8"/>
      <c r="MO71" s="8"/>
      <c r="MP71" s="8"/>
      <c r="MQ71" s="8"/>
      <c r="MR71" s="8"/>
      <c r="MS71" s="8"/>
      <c r="MT71" s="8"/>
      <c r="MU71" s="8"/>
      <c r="MV71" s="8"/>
      <c r="MW71" s="8"/>
      <c r="MX71" s="8"/>
      <c r="MY71" s="8"/>
      <c r="MZ71" s="8"/>
      <c r="NA71" s="8"/>
      <c r="NB71" s="8"/>
      <c r="NC71" s="8"/>
      <c r="ND71" s="8"/>
      <c r="NE71" s="8"/>
      <c r="NF71" s="8"/>
      <c r="NG71" s="8"/>
      <c r="NH71" s="8"/>
      <c r="NI71" s="8"/>
      <c r="NJ71" s="8"/>
      <c r="NK71" s="8"/>
      <c r="NL71" s="8"/>
      <c r="NM71" s="8"/>
      <c r="NN71" s="8"/>
      <c r="NO71" s="8"/>
      <c r="NP71" s="8"/>
      <c r="NQ71" s="8"/>
      <c r="NR71" s="8"/>
      <c r="NS71" s="8"/>
      <c r="NT71" s="8"/>
      <c r="NU71" s="8"/>
      <c r="NV71" s="8"/>
      <c r="NW71" s="8"/>
      <c r="NX71" s="8"/>
      <c r="NY71" s="8"/>
      <c r="NZ71" s="8"/>
      <c r="OA71" s="8"/>
      <c r="OB71" s="8"/>
      <c r="OC71" s="8"/>
      <c r="OD71" s="8"/>
    </row>
    <row r="72" spans="1:394" x14ac:dyDescent="0.3">
      <c r="A72" s="7" t="s">
        <v>204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8"/>
      <c r="MW72" s="8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</row>
    <row r="73" spans="1:394" x14ac:dyDescent="0.3">
      <c r="A73" s="7" t="s">
        <v>205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MP73" s="8"/>
      <c r="MQ73" s="8"/>
      <c r="MR73" s="8"/>
      <c r="MS73" s="8"/>
      <c r="MT73" s="8"/>
      <c r="MU73" s="8"/>
      <c r="MV73" s="8"/>
      <c r="MW73" s="8"/>
      <c r="MX73" s="8"/>
      <c r="MY73" s="8"/>
      <c r="MZ73" s="8"/>
      <c r="NA73" s="8"/>
      <c r="NB73" s="8"/>
      <c r="NC73" s="8"/>
      <c r="ND73" s="8"/>
      <c r="NE73" s="8"/>
      <c r="NF73" s="8"/>
      <c r="NG73" s="8"/>
      <c r="NH73" s="8"/>
      <c r="NI73" s="8"/>
      <c r="NJ73" s="8"/>
      <c r="NK73" s="8"/>
      <c r="NL73" s="8"/>
      <c r="NM73" s="8"/>
      <c r="NN73" s="8"/>
      <c r="NO73" s="8"/>
      <c r="NP73" s="8"/>
      <c r="NQ73" s="8"/>
      <c r="NR73" s="8"/>
      <c r="NS73" s="8"/>
      <c r="NT73" s="8"/>
      <c r="NU73" s="8"/>
      <c r="NV73" s="8"/>
      <c r="NW73" s="8"/>
      <c r="NX73" s="8"/>
      <c r="NY73" s="8"/>
      <c r="NZ73" s="8"/>
      <c r="OA73" s="8"/>
      <c r="OB73" s="8"/>
      <c r="OC73" s="8"/>
      <c r="OD73" s="8"/>
    </row>
    <row r="74" spans="1:394" x14ac:dyDescent="0.3">
      <c r="A74" s="7" t="s">
        <v>206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</row>
    <row r="75" spans="1:394" x14ac:dyDescent="0.3">
      <c r="A75" s="7" t="s">
        <v>207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</row>
    <row r="76" spans="1:394" x14ac:dyDescent="0.3">
      <c r="A76" s="7" t="s">
        <v>208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</row>
    <row r="77" spans="1:394" x14ac:dyDescent="0.3">
      <c r="A77" s="7" t="s">
        <v>209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</row>
    <row r="78" spans="1:394" x14ac:dyDescent="0.3">
      <c r="A78" s="7" t="s">
        <v>210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</row>
    <row r="79" spans="1:394" x14ac:dyDescent="0.3">
      <c r="A79" s="7" t="s">
        <v>211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</row>
    <row r="80" spans="1:394" x14ac:dyDescent="0.3">
      <c r="A80" s="7" t="s">
        <v>212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8"/>
      <c r="LO80" s="8"/>
      <c r="LP80" s="8"/>
      <c r="LQ80" s="8"/>
      <c r="LR80" s="8"/>
      <c r="LS80" s="8"/>
      <c r="LT80" s="8"/>
      <c r="LU80" s="8"/>
      <c r="LV80" s="8"/>
      <c r="LW80" s="8"/>
      <c r="LX80" s="8"/>
      <c r="LY80" s="8"/>
      <c r="LZ80" s="8"/>
      <c r="MA80" s="8"/>
      <c r="MB80" s="8"/>
      <c r="MC80" s="8"/>
      <c r="MD80" s="8"/>
      <c r="ME80" s="8"/>
      <c r="MF80" s="8"/>
      <c r="MG80" s="8"/>
      <c r="MH80" s="8"/>
      <c r="MI80" s="8"/>
      <c r="MJ80" s="8"/>
      <c r="MK80" s="8"/>
      <c r="ML80" s="8"/>
      <c r="MM80" s="8"/>
      <c r="MN80" s="8"/>
      <c r="MO80" s="8"/>
      <c r="MP80" s="8"/>
      <c r="MQ80" s="8"/>
      <c r="MR80" s="8"/>
      <c r="MS80" s="8"/>
      <c r="MT80" s="8"/>
      <c r="MU80" s="8"/>
      <c r="MV80" s="8"/>
      <c r="MW80" s="8"/>
      <c r="MX80" s="8"/>
      <c r="MY80" s="8"/>
      <c r="MZ80" s="8"/>
      <c r="NA80" s="8"/>
      <c r="NB80" s="8"/>
      <c r="NC80" s="8"/>
      <c r="ND80" s="8"/>
      <c r="NE80" s="8"/>
      <c r="NF80" s="8"/>
      <c r="NG80" s="8"/>
      <c r="NH80" s="8"/>
      <c r="NI80" s="8"/>
      <c r="NJ80" s="8"/>
      <c r="NK80" s="8"/>
      <c r="NL80" s="8"/>
      <c r="NM80" s="8"/>
      <c r="NN80" s="8"/>
      <c r="NO80" s="8"/>
      <c r="NP80" s="8"/>
      <c r="NQ80" s="8"/>
      <c r="NR80" s="8"/>
      <c r="NS80" s="8"/>
      <c r="NT80" s="8"/>
      <c r="NU80" s="8"/>
      <c r="NV80" s="8"/>
      <c r="NW80" s="8"/>
      <c r="NX80" s="8"/>
      <c r="NY80" s="8"/>
      <c r="NZ80" s="8"/>
      <c r="OA80" s="8"/>
      <c r="OB80" s="8"/>
      <c r="OC80" s="8"/>
      <c r="OD80" s="8"/>
    </row>
    <row r="81" spans="1:394" x14ac:dyDescent="0.3">
      <c r="A81" s="7" t="s">
        <v>213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8"/>
      <c r="LK81" s="8"/>
      <c r="LL81" s="8"/>
      <c r="LM81" s="8"/>
      <c r="LN81" s="8"/>
      <c r="LO81" s="8"/>
      <c r="LP81" s="8"/>
      <c r="LQ81" s="8"/>
      <c r="LR81" s="8"/>
      <c r="LS81" s="8"/>
      <c r="LT81" s="8"/>
      <c r="LU81" s="8"/>
      <c r="LV81" s="8"/>
      <c r="LW81" s="8"/>
      <c r="LX81" s="8"/>
      <c r="LY81" s="8"/>
      <c r="LZ81" s="8"/>
      <c r="MA81" s="8"/>
      <c r="MB81" s="8"/>
      <c r="MC81" s="8"/>
      <c r="MD81" s="8"/>
      <c r="ME81" s="8"/>
      <c r="MF81" s="8"/>
      <c r="MG81" s="8"/>
      <c r="MH81" s="8"/>
      <c r="MI81" s="8"/>
      <c r="MJ81" s="8"/>
      <c r="MK81" s="8"/>
      <c r="ML81" s="8"/>
      <c r="MM81" s="8"/>
      <c r="MN81" s="8"/>
      <c r="MO81" s="8"/>
      <c r="MP81" s="8"/>
      <c r="MQ81" s="8"/>
      <c r="MR81" s="8"/>
      <c r="MS81" s="8"/>
      <c r="MT81" s="8"/>
      <c r="MU81" s="8"/>
      <c r="MV81" s="8"/>
      <c r="MW81" s="8"/>
      <c r="MX81" s="8"/>
      <c r="MY81" s="8"/>
      <c r="MZ81" s="8"/>
      <c r="NA81" s="8"/>
      <c r="NB81" s="8"/>
      <c r="NC81" s="8"/>
      <c r="ND81" s="8"/>
      <c r="NE81" s="8"/>
      <c r="NF81" s="8"/>
      <c r="NG81" s="8"/>
      <c r="NH81" s="8"/>
      <c r="NI81" s="8"/>
      <c r="NJ81" s="8"/>
      <c r="NK81" s="8"/>
      <c r="NL81" s="8"/>
      <c r="NM81" s="8"/>
      <c r="NN81" s="8"/>
      <c r="NO81" s="8"/>
      <c r="NP81" s="8"/>
      <c r="NQ81" s="8"/>
      <c r="NR81" s="8"/>
      <c r="NS81" s="8"/>
      <c r="NT81" s="8"/>
      <c r="NU81" s="8"/>
      <c r="NV81" s="8"/>
      <c r="NW81" s="8"/>
      <c r="NX81" s="8"/>
      <c r="NY81" s="8"/>
      <c r="NZ81" s="8"/>
      <c r="OA81" s="8"/>
      <c r="OB81" s="8"/>
      <c r="OC81" s="8"/>
      <c r="OD81" s="8"/>
    </row>
    <row r="82" spans="1:394" x14ac:dyDescent="0.3">
      <c r="A82" s="7" t="s">
        <v>214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  <c r="KW82" s="8"/>
      <c r="KX82" s="8"/>
      <c r="KY82" s="8"/>
      <c r="KZ82" s="8"/>
      <c r="LA82" s="8"/>
      <c r="LB82" s="8"/>
      <c r="LC82" s="8"/>
      <c r="LD82" s="8"/>
      <c r="LE82" s="8"/>
      <c r="LF82" s="8"/>
      <c r="LG82" s="8"/>
      <c r="LH82" s="8"/>
      <c r="LI82" s="8"/>
      <c r="LJ82" s="8"/>
      <c r="LK82" s="8"/>
      <c r="LL82" s="8"/>
      <c r="LM82" s="8"/>
      <c r="LN82" s="8"/>
      <c r="LO82" s="8"/>
      <c r="LP82" s="8"/>
      <c r="LQ82" s="8"/>
      <c r="LR82" s="8"/>
      <c r="LS82" s="8"/>
      <c r="LT82" s="8"/>
      <c r="LU82" s="8"/>
      <c r="LV82" s="8"/>
      <c r="LW82" s="8"/>
      <c r="LX82" s="8"/>
      <c r="LY82" s="8"/>
      <c r="LZ82" s="8"/>
      <c r="MA82" s="8"/>
      <c r="MB82" s="8"/>
      <c r="MC82" s="8"/>
      <c r="MD82" s="8"/>
      <c r="ME82" s="8"/>
      <c r="MF82" s="8"/>
      <c r="MG82" s="8"/>
      <c r="MH82" s="8"/>
      <c r="MI82" s="8"/>
      <c r="MJ82" s="8"/>
      <c r="MK82" s="8"/>
      <c r="ML82" s="8"/>
      <c r="MM82" s="8"/>
      <c r="MN82" s="8"/>
      <c r="MO82" s="8"/>
      <c r="MP82" s="8"/>
      <c r="MQ82" s="8"/>
      <c r="MR82" s="8"/>
      <c r="MS82" s="8"/>
      <c r="MT82" s="8"/>
      <c r="MU82" s="8"/>
      <c r="MV82" s="8"/>
      <c r="MW82" s="8"/>
      <c r="MX82" s="8"/>
      <c r="MY82" s="8"/>
      <c r="MZ82" s="8"/>
      <c r="NA82" s="8"/>
      <c r="NB82" s="8"/>
      <c r="NC82" s="8"/>
      <c r="ND82" s="8"/>
      <c r="NE82" s="8"/>
      <c r="NF82" s="8"/>
      <c r="NG82" s="8"/>
      <c r="NH82" s="8"/>
      <c r="NI82" s="8"/>
      <c r="NJ82" s="8"/>
      <c r="NK82" s="8"/>
      <c r="NL82" s="8"/>
      <c r="NM82" s="8"/>
      <c r="NN82" s="8"/>
      <c r="NO82" s="8"/>
      <c r="NP82" s="8"/>
      <c r="NQ82" s="8"/>
      <c r="NR82" s="8"/>
      <c r="NS82" s="8"/>
      <c r="NT82" s="8"/>
      <c r="NU82" s="8"/>
      <c r="NV82" s="8"/>
      <c r="NW82" s="8"/>
      <c r="NX82" s="8"/>
      <c r="NY82" s="8"/>
      <c r="NZ82" s="8"/>
      <c r="OA82" s="8"/>
      <c r="OB82" s="8"/>
      <c r="OC82" s="8"/>
      <c r="OD82" s="8"/>
    </row>
    <row r="83" spans="1:394" x14ac:dyDescent="0.3">
      <c r="A83" s="7" t="s">
        <v>215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8"/>
      <c r="LO83" s="8"/>
      <c r="LP83" s="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8"/>
      <c r="MF83" s="8"/>
      <c r="MG83" s="8"/>
      <c r="MH83" s="8"/>
      <c r="MI83" s="8"/>
      <c r="MJ83" s="8"/>
      <c r="MK83" s="8"/>
      <c r="ML83" s="8"/>
      <c r="MM83" s="8"/>
      <c r="MN83" s="8"/>
      <c r="MO83" s="8"/>
      <c r="MP83" s="8"/>
      <c r="MQ83" s="8"/>
      <c r="MR83" s="8"/>
      <c r="MS83" s="8"/>
      <c r="MT83" s="8"/>
      <c r="MU83" s="8"/>
      <c r="MV83" s="8"/>
      <c r="MW83" s="8"/>
      <c r="MX83" s="8"/>
      <c r="MY83" s="8"/>
      <c r="MZ83" s="8"/>
      <c r="NA83" s="8"/>
      <c r="NB83" s="8"/>
      <c r="NC83" s="8"/>
      <c r="ND83" s="8"/>
      <c r="NE83" s="8"/>
      <c r="NF83" s="8"/>
      <c r="NG83" s="8"/>
      <c r="NH83" s="8"/>
      <c r="NI83" s="8"/>
      <c r="NJ83" s="8"/>
      <c r="NK83" s="8"/>
      <c r="NL83" s="8"/>
      <c r="NM83" s="8"/>
      <c r="NN83" s="8"/>
      <c r="NO83" s="8"/>
      <c r="NP83" s="8"/>
      <c r="NQ83" s="8"/>
      <c r="NR83" s="8"/>
      <c r="NS83" s="8"/>
      <c r="NT83" s="8"/>
      <c r="NU83" s="8"/>
      <c r="NV83" s="8"/>
      <c r="NW83" s="8"/>
      <c r="NX83" s="8"/>
      <c r="NY83" s="8"/>
      <c r="NZ83" s="8"/>
      <c r="OA83" s="8"/>
      <c r="OB83" s="8"/>
      <c r="OC83" s="8"/>
      <c r="OD8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India Bilateral Rel Summary</vt:lpstr>
      <vt:lpstr>Mineral Demand</vt:lpstr>
      <vt:lpstr>Mineral Consumption</vt:lpstr>
      <vt:lpstr>Mineral Reserves</vt:lpstr>
      <vt:lpstr>Mineral Supply</vt:lpstr>
      <vt:lpstr>Mineral Imports</vt:lpstr>
      <vt:lpstr>Mineral 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Steelras Gengacross</dc:creator>
  <cp:lastModifiedBy>Steelras Gengacross</cp:lastModifiedBy>
  <dcterms:created xsi:type="dcterms:W3CDTF">2026-09-07T16:38:30Z</dcterms:created>
  <dcterms:modified xsi:type="dcterms:W3CDTF">2026-09-21T18:17:06Z</dcterms:modified>
</cp:coreProperties>
</file>